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Kaiyuan Gao\Desktop\TGC-Code-Base\Excel_Data_Analytics_Course\2_Formulas_Functions\"/>
    </mc:Choice>
  </mc:AlternateContent>
  <xr:revisionPtr revIDLastSave="0" documentId="8_{C76CE7B7-1759-4A7F-9874-1C50B5691486}" xr6:coauthVersionLast="47" xr6:coauthVersionMax="47" xr10:uidLastSave="{00000000-0000-0000-0000-000000000000}"/>
  <bookViews>
    <workbookView xWindow="19095" yWindow="0" windowWidth="19410" windowHeight="20985" activeTab="2" xr2:uid="{00000000-000D-0000-FFFF-FFFF00000000}"/>
  </bookViews>
  <sheets>
    <sheet name="Data_1" sheetId="1" r:id="rId1"/>
    <sheet name="Final_1" sheetId="2" r:id="rId2"/>
    <sheet name="Data_2" sheetId="3" r:id="rId3"/>
    <sheet name="Final_2" sheetId="4" r:id="rId4"/>
    <sheet name="Errors" sheetId="5" r:id="rId5"/>
    <sheet name="And-Or" sheetId="6" r:id="rId6"/>
  </sheets>
  <definedNames>
    <definedName name="_xlnm._FilterDatabase" localSheetId="1">Final_1!$B$2:$Q$12</definedName>
    <definedName name="_xlnm._FilterDatabase" localSheetId="3">Final_2!$1:$1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E6" i="6"/>
  <c r="D6" i="6"/>
  <c r="E5" i="6"/>
  <c r="D5" i="6"/>
  <c r="E4" i="6"/>
  <c r="D4" i="6"/>
  <c r="E3" i="6"/>
  <c r="D3" i="6"/>
  <c r="E9" i="5"/>
  <c r="C9" i="5"/>
  <c r="B9" i="5"/>
  <c r="F9" i="5" s="1"/>
  <c r="F8" i="5"/>
  <c r="E8" i="5"/>
  <c r="C8" i="5"/>
  <c r="B8" i="5"/>
  <c r="E7" i="5"/>
  <c r="C7" i="5"/>
  <c r="B7" i="5"/>
  <c r="F7" i="5" s="1"/>
  <c r="E6" i="5"/>
  <c r="C6" i="5"/>
  <c r="B6" i="5"/>
  <c r="F6" i="5" s="1"/>
  <c r="F5" i="5"/>
  <c r="E5" i="5"/>
  <c r="C5" i="5"/>
  <c r="B5" i="5"/>
  <c r="F4" i="5"/>
  <c r="B4" i="5"/>
  <c r="E4" i="5" s="1"/>
  <c r="F3" i="5"/>
  <c r="E3" i="5"/>
  <c r="C3" i="5"/>
  <c r="B3" i="5"/>
  <c r="F2" i="5"/>
  <c r="R21" i="4"/>
  <c r="Q21" i="4"/>
  <c r="P21" i="4"/>
  <c r="O21" i="4"/>
  <c r="N21" i="4"/>
  <c r="M21" i="4"/>
  <c r="L21" i="4"/>
  <c r="K21" i="4"/>
  <c r="R20" i="4"/>
  <c r="Q20" i="4"/>
  <c r="P20" i="4"/>
  <c r="O20" i="4"/>
  <c r="N20" i="4"/>
  <c r="M20" i="4"/>
  <c r="L20" i="4"/>
  <c r="K20" i="4"/>
  <c r="R19" i="4"/>
  <c r="Q19" i="4"/>
  <c r="P19" i="4"/>
  <c r="O19" i="4"/>
  <c r="N19" i="4"/>
  <c r="M19" i="4"/>
  <c r="L19" i="4"/>
  <c r="K19" i="4"/>
  <c r="R18" i="4"/>
  <c r="Q18" i="4"/>
  <c r="P18" i="4"/>
  <c r="O18" i="4"/>
  <c r="N18" i="4"/>
  <c r="M18" i="4"/>
  <c r="L18" i="4"/>
  <c r="K18" i="4"/>
  <c r="R17" i="4"/>
  <c r="Q17" i="4"/>
  <c r="P17" i="4"/>
  <c r="O17" i="4"/>
  <c r="N17" i="4"/>
  <c r="M17" i="4"/>
  <c r="L17" i="4"/>
  <c r="K17" i="4"/>
  <c r="R16" i="4"/>
  <c r="Q16" i="4"/>
  <c r="P16" i="4"/>
  <c r="O16" i="4"/>
  <c r="N16" i="4"/>
  <c r="M16" i="4"/>
  <c r="L16" i="4"/>
  <c r="K16" i="4"/>
  <c r="R15" i="4"/>
  <c r="Q15" i="4"/>
  <c r="P15" i="4"/>
  <c r="O15" i="4"/>
  <c r="N15" i="4"/>
  <c r="M15" i="4"/>
  <c r="L15" i="4"/>
  <c r="K15" i="4"/>
  <c r="R14" i="4"/>
  <c r="Q14" i="4"/>
  <c r="P14" i="4"/>
  <c r="O14" i="4"/>
  <c r="N14" i="4"/>
  <c r="M14" i="4"/>
  <c r="L14" i="4"/>
  <c r="K14" i="4"/>
  <c r="R13" i="4"/>
  <c r="Q13" i="4"/>
  <c r="P13" i="4"/>
  <c r="O13" i="4"/>
  <c r="N13" i="4"/>
  <c r="M13" i="4"/>
  <c r="L13" i="4"/>
  <c r="K13" i="4"/>
  <c r="R12" i="4"/>
  <c r="Q12" i="4"/>
  <c r="P12" i="4"/>
  <c r="O12" i="4"/>
  <c r="N12" i="4"/>
  <c r="M12" i="4"/>
  <c r="L12" i="4"/>
  <c r="K12" i="4"/>
  <c r="R11" i="4"/>
  <c r="Q11" i="4"/>
  <c r="P11" i="4"/>
  <c r="O11" i="4"/>
  <c r="N11" i="4"/>
  <c r="M11" i="4"/>
  <c r="L11" i="4"/>
  <c r="K11" i="4"/>
  <c r="R10" i="4"/>
  <c r="Q10" i="4"/>
  <c r="P10" i="4"/>
  <c r="O10" i="4"/>
  <c r="N10" i="4"/>
  <c r="M10" i="4"/>
  <c r="L10" i="4"/>
  <c r="K10" i="4"/>
  <c r="R9" i="4"/>
  <c r="Q9" i="4"/>
  <c r="P9" i="4"/>
  <c r="O9" i="4"/>
  <c r="N9" i="4"/>
  <c r="M9" i="4"/>
  <c r="L9" i="4"/>
  <c r="K9" i="4"/>
  <c r="R8" i="4"/>
  <c r="Q8" i="4"/>
  <c r="P8" i="4"/>
  <c r="O8" i="4"/>
  <c r="N8" i="4"/>
  <c r="M8" i="4"/>
  <c r="L8" i="4"/>
  <c r="K8" i="4"/>
  <c r="R7" i="4"/>
  <c r="Q7" i="4"/>
  <c r="P7" i="4"/>
  <c r="O7" i="4"/>
  <c r="N7" i="4"/>
  <c r="M7" i="4"/>
  <c r="L7" i="4"/>
  <c r="K7" i="4"/>
  <c r="R6" i="4"/>
  <c r="Q6" i="4"/>
  <c r="P6" i="4"/>
  <c r="O6" i="4"/>
  <c r="N6" i="4"/>
  <c r="M6" i="4"/>
  <c r="L6" i="4"/>
  <c r="K6" i="4"/>
  <c r="R5" i="4"/>
  <c r="Q5" i="4"/>
  <c r="P5" i="4"/>
  <c r="O5" i="4"/>
  <c r="N5" i="4"/>
  <c r="M5" i="4"/>
  <c r="L5" i="4"/>
  <c r="K5" i="4"/>
  <c r="R4" i="4"/>
  <c r="Q4" i="4"/>
  <c r="P4" i="4"/>
  <c r="O4" i="4"/>
  <c r="N4" i="4"/>
  <c r="M4" i="4"/>
  <c r="L4" i="4"/>
  <c r="K4" i="4"/>
  <c r="R3" i="4"/>
  <c r="Q3" i="4"/>
  <c r="P3" i="4"/>
  <c r="O3" i="4"/>
  <c r="N3" i="4"/>
  <c r="M3" i="4"/>
  <c r="L3" i="4"/>
  <c r="K3" i="4"/>
  <c r="R2" i="4"/>
  <c r="Q2" i="4"/>
  <c r="P2" i="4"/>
  <c r="O2" i="4"/>
  <c r="N2" i="4"/>
  <c r="M2" i="4"/>
  <c r="L2" i="4"/>
  <c r="K2" i="4"/>
  <c r="XFD1" i="4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L12" i="2"/>
  <c r="K12" i="2"/>
  <c r="H12" i="2"/>
  <c r="I12" i="2" s="1"/>
  <c r="G12" i="2"/>
  <c r="M12" i="2" s="1"/>
  <c r="F12" i="2"/>
  <c r="L11" i="2"/>
  <c r="O11" i="2" s="1"/>
  <c r="K11" i="2"/>
  <c r="I11" i="2"/>
  <c r="J11" i="2" s="1"/>
  <c r="H11" i="2"/>
  <c r="G11" i="2"/>
  <c r="M11" i="2" s="1"/>
  <c r="F11" i="2"/>
  <c r="L10" i="2"/>
  <c r="K10" i="2"/>
  <c r="H10" i="2"/>
  <c r="I10" i="2" s="1"/>
  <c r="G10" i="2"/>
  <c r="M10" i="2" s="1"/>
  <c r="P10" i="2" s="1"/>
  <c r="Q10" i="2" s="1"/>
  <c r="F10" i="2"/>
  <c r="L9" i="2"/>
  <c r="K9" i="2"/>
  <c r="H9" i="2"/>
  <c r="I9" i="2" s="1"/>
  <c r="G9" i="2"/>
  <c r="J9" i="2" s="1"/>
  <c r="F9" i="2"/>
  <c r="M8" i="2"/>
  <c r="L8" i="2"/>
  <c r="P8" i="2" s="1"/>
  <c r="Q8" i="2" s="1"/>
  <c r="K8" i="2"/>
  <c r="H8" i="2"/>
  <c r="I8" i="2" s="1"/>
  <c r="J8" i="2" s="1"/>
  <c r="G8" i="2"/>
  <c r="F8" i="2"/>
  <c r="L7" i="2"/>
  <c r="K7" i="2"/>
  <c r="J7" i="2"/>
  <c r="I7" i="2"/>
  <c r="H7" i="2"/>
  <c r="G7" i="2"/>
  <c r="M7" i="2" s="1"/>
  <c r="F7" i="2"/>
  <c r="M6" i="2"/>
  <c r="O6" i="2" s="1"/>
  <c r="L6" i="2"/>
  <c r="K6" i="2"/>
  <c r="H6" i="2"/>
  <c r="I6" i="2" s="1"/>
  <c r="J6" i="2" s="1"/>
  <c r="G6" i="2"/>
  <c r="F6" i="2"/>
  <c r="L5" i="2"/>
  <c r="K5" i="2"/>
  <c r="H5" i="2"/>
  <c r="I5" i="2" s="1"/>
  <c r="G5" i="2"/>
  <c r="M5" i="2" s="1"/>
  <c r="F5" i="2"/>
  <c r="L4" i="2"/>
  <c r="K4" i="2"/>
  <c r="I4" i="2"/>
  <c r="J4" i="2" s="1"/>
  <c r="H4" i="2"/>
  <c r="G4" i="2"/>
  <c r="M4" i="2" s="1"/>
  <c r="F4" i="2"/>
  <c r="L3" i="2"/>
  <c r="K3" i="2"/>
  <c r="H3" i="2"/>
  <c r="I3" i="2" s="1"/>
  <c r="G3" i="2"/>
  <c r="M3" i="2" s="1"/>
  <c r="P3" i="2" s="1"/>
  <c r="Q3" i="2" s="1"/>
  <c r="F3" i="2"/>
  <c r="L12" i="1"/>
  <c r="K12" i="1"/>
  <c r="H12" i="1"/>
  <c r="I12" i="1" s="1"/>
  <c r="G12" i="1"/>
  <c r="M12" i="1" s="1"/>
  <c r="F12" i="1"/>
  <c r="M11" i="1"/>
  <c r="L11" i="1"/>
  <c r="P11" i="1" s="1"/>
  <c r="Q11" i="1" s="1"/>
  <c r="K11" i="1"/>
  <c r="H11" i="1"/>
  <c r="I11" i="1" s="1"/>
  <c r="J11" i="1" s="1"/>
  <c r="G11" i="1"/>
  <c r="F11" i="1"/>
  <c r="L10" i="1"/>
  <c r="K10" i="1"/>
  <c r="J10" i="1"/>
  <c r="I10" i="1"/>
  <c r="H10" i="1"/>
  <c r="G10" i="1"/>
  <c r="M10" i="1" s="1"/>
  <c r="F10" i="1"/>
  <c r="M9" i="1"/>
  <c r="O9" i="1" s="1"/>
  <c r="L9" i="1"/>
  <c r="K9" i="1"/>
  <c r="H9" i="1"/>
  <c r="I9" i="1" s="1"/>
  <c r="J9" i="1" s="1"/>
  <c r="G9" i="1"/>
  <c r="F9" i="1"/>
  <c r="L8" i="1"/>
  <c r="K8" i="1"/>
  <c r="H8" i="1"/>
  <c r="I8" i="1" s="1"/>
  <c r="G8" i="1"/>
  <c r="M8" i="1" s="1"/>
  <c r="F8" i="1"/>
  <c r="L7" i="1"/>
  <c r="K7" i="1"/>
  <c r="I7" i="1"/>
  <c r="J7" i="1" s="1"/>
  <c r="H7" i="1"/>
  <c r="G7" i="1"/>
  <c r="M7" i="1" s="1"/>
  <c r="F7" i="1"/>
  <c r="L6" i="1"/>
  <c r="O6" i="1" s="1"/>
  <c r="K6" i="1"/>
  <c r="H6" i="1"/>
  <c r="I6" i="1" s="1"/>
  <c r="G6" i="1"/>
  <c r="M6" i="1" s="1"/>
  <c r="P6" i="1" s="1"/>
  <c r="Q6" i="1" s="1"/>
  <c r="F6" i="1"/>
  <c r="L5" i="1"/>
  <c r="K5" i="1"/>
  <c r="H5" i="1"/>
  <c r="I5" i="1" s="1"/>
  <c r="G5" i="1"/>
  <c r="M5" i="1" s="1"/>
  <c r="F5" i="1"/>
  <c r="M4" i="1"/>
  <c r="L4" i="1"/>
  <c r="P4" i="1" s="1"/>
  <c r="Q4" i="1" s="1"/>
  <c r="K4" i="1"/>
  <c r="H4" i="1"/>
  <c r="I4" i="1" s="1"/>
  <c r="J4" i="1" s="1"/>
  <c r="G4" i="1"/>
  <c r="F4" i="1"/>
  <c r="L3" i="1"/>
  <c r="K3" i="1"/>
  <c r="J3" i="1"/>
  <c r="I3" i="1"/>
  <c r="H3" i="1"/>
  <c r="G3" i="1"/>
  <c r="M3" i="1" s="1"/>
  <c r="F3" i="1"/>
  <c r="O12" i="1" l="1"/>
  <c r="P12" i="1"/>
  <c r="Q12" i="1" s="1"/>
  <c r="N12" i="1"/>
  <c r="N5" i="1"/>
  <c r="P5" i="1"/>
  <c r="Q5" i="1" s="1"/>
  <c r="O5" i="1"/>
  <c r="P5" i="2"/>
  <c r="Q5" i="2" s="1"/>
  <c r="N4" i="2"/>
  <c r="P4" i="2"/>
  <c r="Q4" i="2" s="1"/>
  <c r="O7" i="2"/>
  <c r="P7" i="2"/>
  <c r="Q7" i="2" s="1"/>
  <c r="O7" i="1"/>
  <c r="N7" i="1"/>
  <c r="P7" i="1"/>
  <c r="Q7" i="1" s="1"/>
  <c r="O4" i="2"/>
  <c r="O10" i="1"/>
  <c r="P10" i="1"/>
  <c r="Q10" i="1" s="1"/>
  <c r="O3" i="1"/>
  <c r="P3" i="1"/>
  <c r="Q3" i="1" s="1"/>
  <c r="P12" i="2"/>
  <c r="Q12" i="2" s="1"/>
  <c r="N7" i="2"/>
  <c r="N10" i="1"/>
  <c r="O10" i="2"/>
  <c r="O8" i="1"/>
  <c r="N3" i="1"/>
  <c r="O3" i="2"/>
  <c r="N11" i="2"/>
  <c r="P11" i="2"/>
  <c r="Q11" i="2" s="1"/>
  <c r="N6" i="1"/>
  <c r="N3" i="2"/>
  <c r="N10" i="2"/>
  <c r="J5" i="1"/>
  <c r="P8" i="1"/>
  <c r="Q8" i="1" s="1"/>
  <c r="J12" i="1"/>
  <c r="M9" i="2"/>
  <c r="N4" i="1"/>
  <c r="O4" i="1"/>
  <c r="O11" i="1"/>
  <c r="O8" i="2"/>
  <c r="N11" i="1"/>
  <c r="N8" i="2"/>
  <c r="J8" i="1"/>
  <c r="J5" i="2"/>
  <c r="J12" i="2"/>
  <c r="N6" i="2"/>
  <c r="N9" i="1"/>
  <c r="J6" i="1"/>
  <c r="N8" i="1"/>
  <c r="P9" i="1"/>
  <c r="Q9" i="1" s="1"/>
  <c r="J3" i="2"/>
  <c r="N5" i="2"/>
  <c r="P6" i="2"/>
  <c r="Q6" i="2" s="1"/>
  <c r="J10" i="2"/>
  <c r="N12" i="2"/>
  <c r="O5" i="2"/>
  <c r="O12" i="2"/>
  <c r="C4" i="5"/>
  <c r="O9" i="2" l="1"/>
  <c r="N9" i="2"/>
  <c r="P9" i="2"/>
  <c r="Q9" i="2" s="1"/>
</calcChain>
</file>

<file path=xl/sharedStrings.xml><?xml version="1.0" encoding="utf-8"?>
<sst xmlns="http://schemas.openxmlformats.org/spreadsheetml/2006/main" count="428" uniqueCount="135">
  <si>
    <t>Conditon 1</t>
  </si>
  <si>
    <t>Condition 2</t>
  </si>
  <si>
    <t>true</t>
  </si>
  <si>
    <t>false</t>
  </si>
  <si>
    <t>Error Type</t>
  </si>
  <si>
    <t>Formula</t>
  </si>
  <si>
    <t>Description</t>
  </si>
  <si>
    <t>The formula is trying to divide by zero</t>
  </si>
  <si>
    <t>The formula includes an argument of the wrong type</t>
  </si>
  <si>
    <t>The formula refers to a cell that isn’t valid (usually deleted cell)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</si>
  <si>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</si>
  <si>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</si>
  <si>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</si>
  <si>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</si>
  <si>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</si>
  <si>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</si>
  <si>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</si>
  <si>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</si>
  <si>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</si>
  <si>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</si>
  <si>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</si>
  <si>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</si>
  <si>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</si>
  <si>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</si>
  <si>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Data Analyst</t>
  </si>
  <si>
    <t>Business Analyst</t>
  </si>
  <si>
    <t>Both Roles</t>
  </si>
  <si>
    <t>Buckets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</si>
  <si>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</si>
  <si>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</si>
  <si>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</si>
  <si>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</si>
  <si>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</si>
  <si>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</si>
  <si>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</si>
  <si>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</si>
  <si>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</si>
  <si>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</si>
  <si>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</si>
  <si>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</si>
  <si>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</si>
  <si>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</si>
  <si>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</si>
  <si>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</si>
  <si>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</si>
  <si>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Data Scientist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</si>
  <si>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</si>
  <si>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</si>
  <si>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</si>
  <si>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</si>
  <si>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</si>
  <si>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</si>
  <si>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</si>
  <si>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</si>
  <si>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</si>
  <si>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</si>
  <si>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</si>
  <si>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</si>
  <si>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</si>
  <si>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</si>
  <si>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</si>
  <si>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</si>
  <si>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</si>
  <si>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</si>
  <si>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</si>
  <si>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</si>
  <si>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</si>
  <si>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</si>
  <si>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</si>
  <si>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</si>
  <si>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</si>
  <si>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</si>
  <si>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</si>
  <si>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</si>
  <si>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</si>
  <si>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</si>
  <si>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</si>
  <si>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</si>
  <si>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</si>
  <si>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</si>
  <si>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</si>
  <si>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</si>
  <si>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</si>
  <si>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</si>
  <si>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</si>
  <si>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</si>
  <si>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</si>
  <si>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</si>
  <si>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Data Engineer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</si>
  <si>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</si>
  <si>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</si>
  <si>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</si>
  <si>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</si>
  <si>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</si>
  <si>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</si>
  <si>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</si>
  <si>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</si>
  <si>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</si>
  <si>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</si>
  <si>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</si>
  <si>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</si>
  <si>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</si>
  <si>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</si>
  <si>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</si>
  <si>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</si>
  <si>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</si>
  <si>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</si>
  <si>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</si>
  <si>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</si>
  <si>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</si>
  <si>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</si>
  <si>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</si>
  <si>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</si>
  <si>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</si>
  <si>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</si>
  <si>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</si>
  <si>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</si>
  <si>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</si>
  <si>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</si>
  <si>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</si>
  <si>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</si>
  <si>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</si>
  <si>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 - Formula Only</t>
  </si>
  <si>
    <t>Meets Both</t>
  </si>
  <si>
    <t>Meets Goals</t>
  </si>
  <si>
    <t>Machine Learning Engineer</t>
  </si>
  <si>
    <t>Business Intelligence Dev</t>
  </si>
  <si>
    <t>Statistician</t>
  </si>
  <si>
    <t>Data Architect</t>
  </si>
  <si>
    <t>Research Scientist</t>
  </si>
  <si>
    <t>AI Specialist</t>
  </si>
  <si>
    <t>Big Data Engineer</t>
  </si>
  <si>
    <t>Job Goals:</t>
  </si>
  <si>
    <t>Experience (&lt;=)</t>
  </si>
  <si>
    <t>Total Salary (&gt;=)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</si>
</sst>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%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Dashed">
        <color rgb="FF000000"/>
      </left>
      <right style="mediumDashed">
        <color rgb="FF000000"/>
      </right>
      <top/>
      <bottom style="mediumDashed">
        <color rgb="FF000000"/>
      </bottom>
      <diagonal/>
    </border>
    <border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Dashed">
        <color rgb="FF000000"/>
      </left>
      <right/>
      <top style="mediumDashed">
        <color rgb="FF000000"/>
      </top>
      <bottom style="medium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right"/>
    </xf>
    <xf numFmtId="164" fontId="2" fillId="0" borderId="10" xfId="0" applyNumberFormat="1" applyFont="1" applyBorder="1" applyAlignment="1">
      <alignment horizontal="left"/>
    </xf>
    <xf numFmtId="3" fontId="2" fillId="0" borderId="10" xfId="0" applyNumberFormat="1" applyFont="1" applyBorder="1" applyAlignment="1">
      <alignment horizontal="right"/>
    </xf>
    <xf numFmtId="3" fontId="0" fillId="0" borderId="0" xfId="0" applyNumberFormat="1"/>
    <xf numFmtId="3" fontId="2" fillId="0" borderId="10" xfId="0" applyNumberFormat="1" applyFont="1" applyBorder="1" applyAlignment="1">
      <alignment horizontal="left"/>
    </xf>
    <xf numFmtId="4" fontId="2" fillId="0" borderId="10" xfId="0" applyNumberFormat="1" applyFont="1" applyBorder="1" applyAlignment="1">
      <alignment horizontal="right"/>
    </xf>
    <xf numFmtId="164" fontId="0" fillId="0" borderId="0" xfId="0" applyNumberFormat="1"/>
    <xf numFmtId="3" fontId="0" fillId="0" borderId="0" xfId="0" applyNumberFormat="1" applyAlignment="1">
      <alignment horizontal="right"/>
    </xf>
    <xf numFmtId="0" fontId="2" fillId="0" borderId="10" xfId="0" applyFont="1" applyBorder="1" applyAlignment="1">
      <alignment horizontal="center"/>
    </xf>
    <xf numFmtId="3" fontId="4" fillId="0" borderId="14" xfId="0" applyNumberFormat="1" applyFont="1" applyBorder="1" applyAlignment="1">
      <alignment horizontal="left"/>
    </xf>
    <xf numFmtId="165" fontId="0" fillId="0" borderId="0" xfId="0" applyNumberFormat="1"/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center" wrapText="1"/>
    </xf>
    <xf numFmtId="3" fontId="5" fillId="3" borderId="15" xfId="0" applyNumberFormat="1" applyFont="1" applyFill="1" applyBorder="1" applyAlignment="1">
      <alignment horizontal="center" wrapText="1"/>
    </xf>
    <xf numFmtId="3" fontId="5" fillId="3" borderId="2" xfId="0" applyNumberFormat="1" applyFont="1" applyFill="1" applyBorder="1" applyAlignment="1">
      <alignment horizontal="center" wrapText="1"/>
    </xf>
    <xf numFmtId="3" fontId="5" fillId="0" borderId="16" xfId="0" applyNumberFormat="1" applyFont="1" applyBorder="1" applyAlignment="1">
      <alignment horizontal="center" wrapText="1"/>
    </xf>
    <xf numFmtId="3" fontId="5" fillId="0" borderId="17" xfId="0" applyNumberFormat="1" applyFont="1" applyBorder="1" applyAlignment="1">
      <alignment horizontal="center" wrapText="1"/>
    </xf>
    <xf numFmtId="165" fontId="5" fillId="0" borderId="18" xfId="0" applyNumberFormat="1" applyFont="1" applyBorder="1" applyAlignment="1">
      <alignment horizontal="center" wrapText="1"/>
    </xf>
    <xf numFmtId="3" fontId="5" fillId="0" borderId="18" xfId="0" applyNumberFormat="1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/>
    </xf>
    <xf numFmtId="3" fontId="4" fillId="0" borderId="10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4" fillId="0" borderId="16" xfId="0" applyNumberFormat="1" applyFont="1" applyBorder="1" applyAlignment="1">
      <alignment horizontal="right"/>
    </xf>
    <xf numFmtId="3" fontId="4" fillId="0" borderId="18" xfId="0" applyNumberFormat="1" applyFont="1" applyBorder="1" applyAlignment="1">
      <alignment horizontal="right"/>
    </xf>
    <xf numFmtId="165" fontId="4" fillId="0" borderId="18" xfId="0" applyNumberFormat="1" applyFont="1" applyBorder="1" applyAlignment="1">
      <alignment horizontal="right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3" fontId="4" fillId="0" borderId="20" xfId="0" applyNumberFormat="1" applyFont="1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0" fontId="4" fillId="0" borderId="9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3" fontId="4" fillId="0" borderId="2" xfId="0" applyNumberFormat="1" applyFont="1" applyBorder="1" applyAlignment="1">
      <alignment horizontal="right"/>
    </xf>
    <xf numFmtId="0" fontId="5" fillId="0" borderId="7" xfId="0" applyFont="1" applyBorder="1" applyAlignment="1">
      <alignment horizontal="left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  <wetp:taskpane dockstate="right" visibility="0" width="522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88AF2CBE-D635-4651-AE46-513B5DCF38B3}">
  <we:reference id="wa200003696" version="1.3.0.0" store="en-US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46B72EE-26E6-4F23-AE2E-7B52F54A0FE4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vDOApvOU5B4RLwbtNEEBU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E2E78191-2F2C-4C39-A4AC-8E069775CA02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Q16"/>
  <sheetViews>
    <sheetView workbookViewId="0"/>
  </sheetViews>
  <sheetFormatPr defaultRowHeight="15" x14ac:dyDescent="0.25"/>
  <cols>
    <col min="1" max="1" width="5.140625" bestFit="1" customWidth="1"/>
    <col min="2" max="2" width="22.7109375" bestFit="1" customWidth="1"/>
    <col min="3" max="3" width="18.28515625" style="26" bestFit="1" customWidth="1"/>
    <col min="4" max="4" width="12.28515625" style="22" bestFit="1" customWidth="1"/>
    <col min="5" max="5" width="11.5703125" style="22" bestFit="1" customWidth="1"/>
    <col min="6" max="7" width="14.140625" style="22" hidden="1" bestFit="1" customWidth="1"/>
    <col min="8" max="8" width="14.140625" style="29" hidden="1" bestFit="1" customWidth="1"/>
    <col min="9" max="9" width="14.140625" style="22" hidden="1" bestFit="1" customWidth="1"/>
    <col min="10" max="11" width="14.140625" hidden="1" bestFit="1" customWidth="1"/>
    <col min="12" max="12" width="10.28515625" bestFit="1" customWidth="1"/>
    <col min="13" max="13" width="9.140625" bestFit="1" customWidth="1"/>
    <col min="14" max="14" width="14.140625" style="22" hidden="1" bestFit="1" customWidth="1"/>
    <col min="15" max="15" width="14.140625" hidden="1" bestFit="1" customWidth="1"/>
    <col min="16" max="16" width="9.7109375" bestFit="1" customWidth="1"/>
    <col min="17" max="17" width="9.140625" bestFit="1" customWidth="1"/>
  </cols>
  <sheetData>
    <row r="1" spans="2:17" ht="19.5" customHeight="1" x14ac:dyDescent="0.25">
      <c r="G1" s="28"/>
    </row>
    <row r="2" spans="2:17" s="30" customFormat="1" ht="27.75" customHeight="1" x14ac:dyDescent="0.25">
      <c r="B2" s="31" t="s">
        <v>109</v>
      </c>
      <c r="C2" s="32" t="s">
        <v>110</v>
      </c>
      <c r="D2" s="32" t="s">
        <v>111</v>
      </c>
      <c r="E2" s="33" t="s">
        <v>112</v>
      </c>
      <c r="F2" s="34" t="s">
        <v>113</v>
      </c>
      <c r="G2" s="35" t="s">
        <v>114</v>
      </c>
      <c r="H2" s="36" t="s">
        <v>115</v>
      </c>
      <c r="I2" s="37" t="s">
        <v>116</v>
      </c>
      <c r="J2" s="38" t="s">
        <v>117</v>
      </c>
      <c r="K2" s="38" t="s">
        <v>118</v>
      </c>
      <c r="L2" s="38" t="s">
        <v>119</v>
      </c>
      <c r="M2" s="38" t="s">
        <v>120</v>
      </c>
      <c r="N2" s="37" t="s">
        <v>121</v>
      </c>
      <c r="O2" s="38" t="s">
        <v>122</v>
      </c>
      <c r="P2" s="38" t="s">
        <v>123</v>
      </c>
      <c r="Q2" s="40" t="s">
        <v>124</v>
      </c>
    </row>
    <row r="3" spans="2:17" ht="19.5" customHeight="1" x14ac:dyDescent="0.25">
      <c r="B3" s="41" t="s">
        <v>45</v>
      </c>
      <c r="C3" s="42">
        <v>5</v>
      </c>
      <c r="D3" s="42">
        <v>120000</v>
      </c>
      <c r="E3" s="43">
        <v>10000</v>
      </c>
      <c r="F3" s="44">
        <f t="shared" ref="F3:F12" si="0">C3</f>
        <v>5</v>
      </c>
      <c r="G3" s="45">
        <f t="shared" ref="G3:G12" si="1">D3+E3</f>
        <v>130000</v>
      </c>
      <c r="H3" s="46">
        <f t="shared" ref="H3:H12" si="2">E3/D3</f>
        <v>8.3333333333333329E-2</v>
      </c>
      <c r="I3" s="45">
        <f t="shared" ref="I3:I12" si="3">D3+D3*H3</f>
        <v>130000</v>
      </c>
      <c r="J3" s="47" t="b">
        <f t="shared" ref="J3:J12" si="4">G3=I3</f>
        <v>1</v>
      </c>
      <c r="K3" s="47" t="b">
        <f t="shared" ref="K3:K12" si="5">E3&gt;D3</f>
        <v>0</v>
      </c>
      <c r="L3" s="47" t="b">
        <f t="shared" ref="L3:L12" si="6">$C$15&lt;=C3</f>
        <v>1</v>
      </c>
      <c r="M3" s="47" t="b">
        <f t="shared" ref="M3:M12" si="7">$G3&gt;=$C$16</f>
        <v>1</v>
      </c>
      <c r="N3" s="45">
        <f t="shared" ref="N3:N12" si="8">L3*M3</f>
        <v>1</v>
      </c>
      <c r="O3" s="47" t="b">
        <f t="shared" ref="O3:O12" si="9">L3*M3=1</f>
        <v>1</v>
      </c>
      <c r="P3" s="47" t="b">
        <f t="shared" ref="P3:P12" si="10">AND(L3,M3)</f>
        <v>1</v>
      </c>
      <c r="Q3" s="49" t="str">
        <f t="shared" ref="Q3:Q12" si="11">IF(P3,"GOAL MET", "NOT MET")</f>
        <v>GOAL MET</v>
      </c>
    </row>
    <row r="4" spans="2:17" ht="19.5" customHeight="1" x14ac:dyDescent="0.25">
      <c r="B4" s="41" t="s">
        <v>125</v>
      </c>
      <c r="C4" s="42">
        <v>4</v>
      </c>
      <c r="D4" s="42">
        <v>135000</v>
      </c>
      <c r="E4" s="43">
        <v>12000</v>
      </c>
      <c r="F4" s="44">
        <f t="shared" si="0"/>
        <v>4</v>
      </c>
      <c r="G4" s="45">
        <f t="shared" si="1"/>
        <v>147000</v>
      </c>
      <c r="H4" s="46">
        <f t="shared" si="2"/>
        <v>8.8888888888888892E-2</v>
      </c>
      <c r="I4" s="45">
        <f t="shared" si="3"/>
        <v>147000</v>
      </c>
      <c r="J4" s="47" t="b">
        <f t="shared" si="4"/>
        <v>1</v>
      </c>
      <c r="K4" s="47" t="b">
        <f t="shared" si="5"/>
        <v>0</v>
      </c>
      <c r="L4" s="47" t="b">
        <f t="shared" si="6"/>
        <v>0</v>
      </c>
      <c r="M4" s="47" t="b">
        <f t="shared" si="7"/>
        <v>1</v>
      </c>
      <c r="N4" s="45">
        <f t="shared" si="8"/>
        <v>0</v>
      </c>
      <c r="O4" s="47" t="b">
        <f t="shared" si="9"/>
        <v>0</v>
      </c>
      <c r="P4" s="47" t="b">
        <f t="shared" si="10"/>
        <v>0</v>
      </c>
      <c r="Q4" s="49" t="str">
        <f t="shared" si="11"/>
        <v>NOT MET</v>
      </c>
    </row>
    <row r="5" spans="2:17" ht="19.5" customHeight="1" x14ac:dyDescent="0.25">
      <c r="B5" s="41" t="s">
        <v>24</v>
      </c>
      <c r="C5" s="42">
        <v>2</v>
      </c>
      <c r="D5" s="42">
        <v>75000</v>
      </c>
      <c r="E5" s="43">
        <v>5000</v>
      </c>
      <c r="F5" s="44">
        <f t="shared" si="0"/>
        <v>2</v>
      </c>
      <c r="G5" s="45">
        <f t="shared" si="1"/>
        <v>80000</v>
      </c>
      <c r="H5" s="46">
        <f t="shared" si="2"/>
        <v>6.6666666666666666E-2</v>
      </c>
      <c r="I5" s="45">
        <f t="shared" si="3"/>
        <v>80000</v>
      </c>
      <c r="J5" s="47" t="b">
        <f t="shared" si="4"/>
        <v>1</v>
      </c>
      <c r="K5" s="47" t="b">
        <f t="shared" si="5"/>
        <v>0</v>
      </c>
      <c r="L5" s="47" t="b">
        <f t="shared" si="6"/>
        <v>0</v>
      </c>
      <c r="M5" s="47" t="b">
        <f t="shared" si="7"/>
        <v>0</v>
      </c>
      <c r="N5" s="45">
        <f t="shared" si="8"/>
        <v>0</v>
      </c>
      <c r="O5" s="47" t="b">
        <f t="shared" si="9"/>
        <v>0</v>
      </c>
      <c r="P5" s="47" t="b">
        <f t="shared" si="10"/>
        <v>0</v>
      </c>
      <c r="Q5" s="49" t="str">
        <f t="shared" si="11"/>
        <v>NOT MET</v>
      </c>
    </row>
    <row r="6" spans="2:17" ht="19.5" customHeight="1" x14ac:dyDescent="0.25">
      <c r="B6" s="41" t="s">
        <v>126</v>
      </c>
      <c r="C6" s="42">
        <v>6</v>
      </c>
      <c r="D6" s="42">
        <v>110000</v>
      </c>
      <c r="E6" s="43">
        <v>8000</v>
      </c>
      <c r="F6" s="44">
        <f t="shared" si="0"/>
        <v>6</v>
      </c>
      <c r="G6" s="45">
        <f t="shared" si="1"/>
        <v>118000</v>
      </c>
      <c r="H6" s="46">
        <f t="shared" si="2"/>
        <v>7.2727272727272724E-2</v>
      </c>
      <c r="I6" s="45">
        <f t="shared" si="3"/>
        <v>118000</v>
      </c>
      <c r="J6" s="47" t="b">
        <f t="shared" si="4"/>
        <v>1</v>
      </c>
      <c r="K6" s="47" t="b">
        <f t="shared" si="5"/>
        <v>0</v>
      </c>
      <c r="L6" s="47" t="b">
        <f t="shared" si="6"/>
        <v>1</v>
      </c>
      <c r="M6" s="47" t="b">
        <f t="shared" si="7"/>
        <v>1</v>
      </c>
      <c r="N6" s="45">
        <f t="shared" si="8"/>
        <v>1</v>
      </c>
      <c r="O6" s="47" t="b">
        <f t="shared" si="9"/>
        <v>1</v>
      </c>
      <c r="P6" s="47" t="b">
        <f t="shared" si="10"/>
        <v>1</v>
      </c>
      <c r="Q6" s="49" t="str">
        <f t="shared" si="11"/>
        <v>GOAL MET</v>
      </c>
    </row>
    <row r="7" spans="2:17" ht="19.5" customHeight="1" x14ac:dyDescent="0.25">
      <c r="B7" s="41" t="s">
        <v>88</v>
      </c>
      <c r="C7" s="42">
        <v>3</v>
      </c>
      <c r="D7" s="42">
        <v>125000</v>
      </c>
      <c r="E7" s="43">
        <v>11000</v>
      </c>
      <c r="F7" s="44">
        <f t="shared" si="0"/>
        <v>3</v>
      </c>
      <c r="G7" s="45">
        <f t="shared" si="1"/>
        <v>136000</v>
      </c>
      <c r="H7" s="46">
        <f t="shared" si="2"/>
        <v>8.7999999999999995E-2</v>
      </c>
      <c r="I7" s="45">
        <f t="shared" si="3"/>
        <v>136000</v>
      </c>
      <c r="J7" s="47" t="b">
        <f t="shared" si="4"/>
        <v>1</v>
      </c>
      <c r="K7" s="47" t="b">
        <f t="shared" si="5"/>
        <v>0</v>
      </c>
      <c r="L7" s="47" t="b">
        <f t="shared" si="6"/>
        <v>0</v>
      </c>
      <c r="M7" s="47" t="b">
        <f t="shared" si="7"/>
        <v>1</v>
      </c>
      <c r="N7" s="45">
        <f t="shared" si="8"/>
        <v>0</v>
      </c>
      <c r="O7" s="47" t="b">
        <f t="shared" si="9"/>
        <v>0</v>
      </c>
      <c r="P7" s="47" t="b">
        <f t="shared" si="10"/>
        <v>0</v>
      </c>
      <c r="Q7" s="49" t="str">
        <f t="shared" si="11"/>
        <v>NOT MET</v>
      </c>
    </row>
    <row r="8" spans="2:17" ht="19.5" customHeight="1" x14ac:dyDescent="0.25">
      <c r="B8" s="41" t="s">
        <v>127</v>
      </c>
      <c r="C8" s="42">
        <v>7</v>
      </c>
      <c r="D8" s="42">
        <v>90000</v>
      </c>
      <c r="E8" s="43">
        <v>7000</v>
      </c>
      <c r="F8" s="44">
        <f t="shared" si="0"/>
        <v>7</v>
      </c>
      <c r="G8" s="45">
        <f t="shared" si="1"/>
        <v>97000</v>
      </c>
      <c r="H8" s="46">
        <f t="shared" si="2"/>
        <v>7.7777777777777779E-2</v>
      </c>
      <c r="I8" s="45">
        <f t="shared" si="3"/>
        <v>97000</v>
      </c>
      <c r="J8" s="47" t="b">
        <f t="shared" si="4"/>
        <v>1</v>
      </c>
      <c r="K8" s="47" t="b">
        <f t="shared" si="5"/>
        <v>0</v>
      </c>
      <c r="L8" s="47" t="b">
        <f t="shared" si="6"/>
        <v>1</v>
      </c>
      <c r="M8" s="47" t="b">
        <f t="shared" si="7"/>
        <v>1</v>
      </c>
      <c r="N8" s="45">
        <f t="shared" si="8"/>
        <v>1</v>
      </c>
      <c r="O8" s="47" t="b">
        <f t="shared" si="9"/>
        <v>1</v>
      </c>
      <c r="P8" s="47" t="b">
        <f t="shared" si="10"/>
        <v>1</v>
      </c>
      <c r="Q8" s="49" t="str">
        <f t="shared" si="11"/>
        <v>GOAL MET</v>
      </c>
    </row>
    <row r="9" spans="2:17" ht="19.5" customHeight="1" x14ac:dyDescent="0.25">
      <c r="B9" s="41" t="s">
        <v>128</v>
      </c>
      <c r="C9" s="42">
        <v>10</v>
      </c>
      <c r="D9" s="42">
        <v>150000</v>
      </c>
      <c r="E9" s="43">
        <v>15000</v>
      </c>
      <c r="F9" s="44">
        <f t="shared" si="0"/>
        <v>10</v>
      </c>
      <c r="G9" s="45">
        <f t="shared" si="1"/>
        <v>165000</v>
      </c>
      <c r="H9" s="46">
        <f t="shared" si="2"/>
        <v>0.1</v>
      </c>
      <c r="I9" s="45">
        <f t="shared" si="3"/>
        <v>165000</v>
      </c>
      <c r="J9" s="47" t="b">
        <f t="shared" si="4"/>
        <v>1</v>
      </c>
      <c r="K9" s="47" t="b">
        <f t="shared" si="5"/>
        <v>0</v>
      </c>
      <c r="L9" s="47" t="b">
        <f t="shared" si="6"/>
        <v>1</v>
      </c>
      <c r="M9" s="47" t="b">
        <f t="shared" si="7"/>
        <v>1</v>
      </c>
      <c r="N9" s="45">
        <f t="shared" si="8"/>
        <v>1</v>
      </c>
      <c r="O9" s="47" t="b">
        <f t="shared" si="9"/>
        <v>1</v>
      </c>
      <c r="P9" s="47" t="b">
        <f t="shared" si="10"/>
        <v>1</v>
      </c>
      <c r="Q9" s="49" t="str">
        <f t="shared" si="11"/>
        <v>GOAL MET</v>
      </c>
    </row>
    <row r="10" spans="2:17" ht="19.5" customHeight="1" x14ac:dyDescent="0.25">
      <c r="B10" s="41" t="s">
        <v>129</v>
      </c>
      <c r="C10" s="42">
        <v>8</v>
      </c>
      <c r="D10" s="42">
        <v>130000</v>
      </c>
      <c r="E10" s="43">
        <v>13000</v>
      </c>
      <c r="F10" s="44">
        <f t="shared" si="0"/>
        <v>8</v>
      </c>
      <c r="G10" s="45">
        <f t="shared" si="1"/>
        <v>143000</v>
      </c>
      <c r="H10" s="46">
        <f t="shared" si="2"/>
        <v>0.1</v>
      </c>
      <c r="I10" s="45">
        <f t="shared" si="3"/>
        <v>143000</v>
      </c>
      <c r="J10" s="47" t="b">
        <f t="shared" si="4"/>
        <v>1</v>
      </c>
      <c r="K10" s="47" t="b">
        <f t="shared" si="5"/>
        <v>0</v>
      </c>
      <c r="L10" s="47" t="b">
        <f t="shared" si="6"/>
        <v>1</v>
      </c>
      <c r="M10" s="47" t="b">
        <f t="shared" si="7"/>
        <v>1</v>
      </c>
      <c r="N10" s="45">
        <f t="shared" si="8"/>
        <v>1</v>
      </c>
      <c r="O10" s="47" t="b">
        <f t="shared" si="9"/>
        <v>1</v>
      </c>
      <c r="P10" s="47" t="b">
        <f t="shared" si="10"/>
        <v>1</v>
      </c>
      <c r="Q10" s="49" t="str">
        <f t="shared" si="11"/>
        <v>GOAL MET</v>
      </c>
    </row>
    <row r="11" spans="2:17" ht="19.5" customHeight="1" x14ac:dyDescent="0.25">
      <c r="B11" s="41" t="s">
        <v>130</v>
      </c>
      <c r="C11" s="42">
        <v>3</v>
      </c>
      <c r="D11" s="42">
        <v>140000</v>
      </c>
      <c r="E11" s="43">
        <v>14000</v>
      </c>
      <c r="F11" s="44">
        <f t="shared" si="0"/>
        <v>3</v>
      </c>
      <c r="G11" s="45">
        <f t="shared" si="1"/>
        <v>154000</v>
      </c>
      <c r="H11" s="46">
        <f t="shared" si="2"/>
        <v>0.1</v>
      </c>
      <c r="I11" s="45">
        <f t="shared" si="3"/>
        <v>154000</v>
      </c>
      <c r="J11" s="47" t="b">
        <f t="shared" si="4"/>
        <v>1</v>
      </c>
      <c r="K11" s="47" t="b">
        <f t="shared" si="5"/>
        <v>0</v>
      </c>
      <c r="L11" s="47" t="b">
        <f t="shared" si="6"/>
        <v>0</v>
      </c>
      <c r="M11" s="47" t="b">
        <f t="shared" si="7"/>
        <v>1</v>
      </c>
      <c r="N11" s="45">
        <f t="shared" si="8"/>
        <v>0</v>
      </c>
      <c r="O11" s="47" t="b">
        <f t="shared" si="9"/>
        <v>0</v>
      </c>
      <c r="P11" s="47" t="b">
        <f t="shared" si="10"/>
        <v>0</v>
      </c>
      <c r="Q11" s="49" t="str">
        <f t="shared" si="11"/>
        <v>NOT MET</v>
      </c>
    </row>
    <row r="12" spans="2:17" ht="19.5" customHeight="1" x14ac:dyDescent="0.25">
      <c r="B12" s="50" t="s">
        <v>131</v>
      </c>
      <c r="C12" s="51">
        <v>5</v>
      </c>
      <c r="D12" s="51">
        <v>115000</v>
      </c>
      <c r="E12" s="52">
        <v>9000</v>
      </c>
      <c r="F12" s="44">
        <f t="shared" si="0"/>
        <v>5</v>
      </c>
      <c r="G12" s="45">
        <f t="shared" si="1"/>
        <v>124000</v>
      </c>
      <c r="H12" s="46">
        <f t="shared" si="2"/>
        <v>7.8260869565217397E-2</v>
      </c>
      <c r="I12" s="45">
        <f t="shared" si="3"/>
        <v>124000</v>
      </c>
      <c r="J12" s="47" t="b">
        <f t="shared" si="4"/>
        <v>1</v>
      </c>
      <c r="K12" s="47" t="b">
        <f t="shared" si="5"/>
        <v>0</v>
      </c>
      <c r="L12" s="47" t="b">
        <f t="shared" si="6"/>
        <v>1</v>
      </c>
      <c r="M12" s="47" t="b">
        <f t="shared" si="7"/>
        <v>1</v>
      </c>
      <c r="N12" s="45">
        <f t="shared" si="8"/>
        <v>1</v>
      </c>
      <c r="O12" s="47" t="b">
        <f t="shared" si="9"/>
        <v>1</v>
      </c>
      <c r="P12" s="47" t="b">
        <f t="shared" si="10"/>
        <v>1</v>
      </c>
      <c r="Q12" s="49" t="str">
        <f t="shared" si="11"/>
        <v>GOAL MET</v>
      </c>
    </row>
    <row r="13" spans="2:17" ht="19.5" customHeight="1" x14ac:dyDescent="0.25"/>
    <row r="14" spans="2:17" ht="19.5" customHeight="1" x14ac:dyDescent="0.25">
      <c r="B14" s="54" t="s">
        <v>132</v>
      </c>
    </row>
    <row r="15" spans="2:17" ht="19.5" customHeight="1" x14ac:dyDescent="0.25">
      <c r="B15" s="55" t="s">
        <v>133</v>
      </c>
      <c r="C15" s="56">
        <v>5</v>
      </c>
    </row>
    <row r="16" spans="2:17" ht="19.5" customHeight="1" x14ac:dyDescent="0.25">
      <c r="B16" s="57" t="s">
        <v>134</v>
      </c>
      <c r="C16" s="52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Q16"/>
  <sheetViews>
    <sheetView workbookViewId="0"/>
  </sheetViews>
  <sheetFormatPr defaultRowHeight="15" x14ac:dyDescent="0.25"/>
  <cols>
    <col min="1" max="1" width="5.140625" bestFit="1" customWidth="1"/>
    <col min="2" max="2" width="22.7109375" bestFit="1" customWidth="1"/>
    <col min="3" max="3" width="10.42578125" style="26" bestFit="1" customWidth="1"/>
    <col min="4" max="4" width="12.28515625" style="22" bestFit="1" customWidth="1"/>
    <col min="5" max="5" width="11.5703125" style="22" bestFit="1" customWidth="1"/>
    <col min="6" max="7" width="14.140625" style="22" hidden="1" bestFit="1" customWidth="1"/>
    <col min="8" max="8" width="14.140625" style="29" hidden="1" bestFit="1" customWidth="1"/>
    <col min="9" max="9" width="14.140625" style="22" hidden="1" bestFit="1" customWidth="1"/>
    <col min="10" max="13" width="14.140625" hidden="1" bestFit="1" customWidth="1"/>
    <col min="14" max="14" width="14.140625" style="22" hidden="1" bestFit="1" customWidth="1"/>
    <col min="15" max="16" width="14.140625" hidden="1" bestFit="1" customWidth="1"/>
    <col min="17" max="17" width="9.7109375" bestFit="1" customWidth="1"/>
  </cols>
  <sheetData>
    <row r="1" spans="2:17" ht="19.5" customHeight="1" x14ac:dyDescent="0.25">
      <c r="G1" s="28"/>
    </row>
    <row r="2" spans="2:17" s="30" customFormat="1" ht="27.75" customHeight="1" x14ac:dyDescent="0.25">
      <c r="B2" s="31" t="s">
        <v>109</v>
      </c>
      <c r="C2" s="32" t="s">
        <v>110</v>
      </c>
      <c r="D2" s="32" t="s">
        <v>111</v>
      </c>
      <c r="E2" s="33" t="s">
        <v>112</v>
      </c>
      <c r="F2" s="34" t="s">
        <v>113</v>
      </c>
      <c r="G2" s="35" t="s">
        <v>114</v>
      </c>
      <c r="H2" s="36" t="s">
        <v>115</v>
      </c>
      <c r="I2" s="37" t="s">
        <v>116</v>
      </c>
      <c r="J2" s="38" t="s">
        <v>117</v>
      </c>
      <c r="K2" s="38" t="s">
        <v>118</v>
      </c>
      <c r="L2" s="38" t="s">
        <v>119</v>
      </c>
      <c r="M2" s="38" t="s">
        <v>120</v>
      </c>
      <c r="N2" s="37" t="s">
        <v>121</v>
      </c>
      <c r="O2" s="38" t="s">
        <v>122</v>
      </c>
      <c r="P2" s="39" t="s">
        <v>123</v>
      </c>
      <c r="Q2" s="40" t="s">
        <v>124</v>
      </c>
    </row>
    <row r="3" spans="2:17" ht="19.5" customHeight="1" x14ac:dyDescent="0.25">
      <c r="B3" s="41" t="s">
        <v>45</v>
      </c>
      <c r="C3" s="42">
        <v>5</v>
      </c>
      <c r="D3" s="42">
        <v>120000</v>
      </c>
      <c r="E3" s="43">
        <v>10000</v>
      </c>
      <c r="F3" s="44">
        <f t="shared" ref="F3:F12" si="0">C3</f>
        <v>5</v>
      </c>
      <c r="G3" s="45">
        <f t="shared" ref="G3:G12" si="1">D3+E3</f>
        <v>130000</v>
      </c>
      <c r="H3" s="46">
        <f t="shared" ref="H3:H12" si="2">E3/D3</f>
        <v>8.3333333333333329E-2</v>
      </c>
      <c r="I3" s="45">
        <f t="shared" ref="I3:I12" si="3">D3+D3*H3</f>
        <v>130000</v>
      </c>
      <c r="J3" s="47" t="b">
        <f t="shared" ref="J3:J12" si="4">G3=I3</f>
        <v>1</v>
      </c>
      <c r="K3" s="47" t="b">
        <f t="shared" ref="K3:K12" si="5">E3&gt;D3</f>
        <v>0</v>
      </c>
      <c r="L3" s="47" t="b">
        <f t="shared" ref="L3:L12" si="6">$C$15&lt;=C3</f>
        <v>1</v>
      </c>
      <c r="M3" s="47" t="b">
        <f t="shared" ref="M3:M12" si="7">$G3&gt;=$C$16</f>
        <v>1</v>
      </c>
      <c r="N3" s="45">
        <f t="shared" ref="N3:N12" si="8">L3*M3</f>
        <v>1</v>
      </c>
      <c r="O3" s="47" t="b">
        <f t="shared" ref="O3:O12" si="9">L3*M3=1</f>
        <v>1</v>
      </c>
      <c r="P3" s="48" t="b">
        <f t="shared" ref="P3:P12" si="10">AND(L3,M3)</f>
        <v>1</v>
      </c>
      <c r="Q3" s="49" t="str">
        <f t="shared" ref="Q3:Q12" si="11">IF(P3, "Goal Met", "Not Met")</f>
        <v>Goal Met</v>
      </c>
    </row>
    <row r="4" spans="2:17" ht="19.5" customHeight="1" x14ac:dyDescent="0.25">
      <c r="B4" s="41" t="s">
        <v>125</v>
      </c>
      <c r="C4" s="42">
        <v>4</v>
      </c>
      <c r="D4" s="42">
        <v>135000</v>
      </c>
      <c r="E4" s="43">
        <v>12000</v>
      </c>
      <c r="F4" s="44">
        <f t="shared" si="0"/>
        <v>4</v>
      </c>
      <c r="G4" s="45">
        <f t="shared" si="1"/>
        <v>147000</v>
      </c>
      <c r="H4" s="46">
        <f t="shared" si="2"/>
        <v>8.8888888888888892E-2</v>
      </c>
      <c r="I4" s="45">
        <f t="shared" si="3"/>
        <v>147000</v>
      </c>
      <c r="J4" s="47" t="b">
        <f t="shared" si="4"/>
        <v>1</v>
      </c>
      <c r="K4" s="47" t="b">
        <f t="shared" si="5"/>
        <v>0</v>
      </c>
      <c r="L4" s="47" t="b">
        <f t="shared" si="6"/>
        <v>0</v>
      </c>
      <c r="M4" s="47" t="b">
        <f t="shared" si="7"/>
        <v>1</v>
      </c>
      <c r="N4" s="45">
        <f t="shared" si="8"/>
        <v>0</v>
      </c>
      <c r="O4" s="47" t="b">
        <f t="shared" si="9"/>
        <v>0</v>
      </c>
      <c r="P4" s="48" t="b">
        <f t="shared" si="10"/>
        <v>0</v>
      </c>
      <c r="Q4" s="49" t="str">
        <f t="shared" si="11"/>
        <v>Not Met</v>
      </c>
    </row>
    <row r="5" spans="2:17" ht="19.5" customHeight="1" x14ac:dyDescent="0.25">
      <c r="B5" s="41" t="s">
        <v>24</v>
      </c>
      <c r="C5" s="42">
        <v>2</v>
      </c>
      <c r="D5" s="42">
        <v>75000</v>
      </c>
      <c r="E5" s="43">
        <v>5000</v>
      </c>
      <c r="F5" s="44">
        <f t="shared" si="0"/>
        <v>2</v>
      </c>
      <c r="G5" s="45">
        <f t="shared" si="1"/>
        <v>80000</v>
      </c>
      <c r="H5" s="46">
        <f t="shared" si="2"/>
        <v>6.6666666666666666E-2</v>
      </c>
      <c r="I5" s="45">
        <f t="shared" si="3"/>
        <v>80000</v>
      </c>
      <c r="J5" s="47" t="b">
        <f t="shared" si="4"/>
        <v>1</v>
      </c>
      <c r="K5" s="47" t="b">
        <f t="shared" si="5"/>
        <v>0</v>
      </c>
      <c r="L5" s="47" t="b">
        <f t="shared" si="6"/>
        <v>0</v>
      </c>
      <c r="M5" s="47" t="b">
        <f t="shared" si="7"/>
        <v>0</v>
      </c>
      <c r="N5" s="45">
        <f t="shared" si="8"/>
        <v>0</v>
      </c>
      <c r="O5" s="47" t="b">
        <f t="shared" si="9"/>
        <v>0</v>
      </c>
      <c r="P5" s="48" t="b">
        <f t="shared" si="10"/>
        <v>0</v>
      </c>
      <c r="Q5" s="49" t="str">
        <f t="shared" si="11"/>
        <v>Not Met</v>
      </c>
    </row>
    <row r="6" spans="2:17" ht="19.5" customHeight="1" x14ac:dyDescent="0.25">
      <c r="B6" s="41" t="s">
        <v>126</v>
      </c>
      <c r="C6" s="42">
        <v>6</v>
      </c>
      <c r="D6" s="42">
        <v>110000</v>
      </c>
      <c r="E6" s="43">
        <v>8000</v>
      </c>
      <c r="F6" s="44">
        <f t="shared" si="0"/>
        <v>6</v>
      </c>
      <c r="G6" s="45">
        <f t="shared" si="1"/>
        <v>118000</v>
      </c>
      <c r="H6" s="46">
        <f t="shared" si="2"/>
        <v>7.2727272727272724E-2</v>
      </c>
      <c r="I6" s="45">
        <f t="shared" si="3"/>
        <v>118000</v>
      </c>
      <c r="J6" s="47" t="b">
        <f t="shared" si="4"/>
        <v>1</v>
      </c>
      <c r="K6" s="47" t="b">
        <f t="shared" si="5"/>
        <v>0</v>
      </c>
      <c r="L6" s="47" t="b">
        <f t="shared" si="6"/>
        <v>1</v>
      </c>
      <c r="M6" s="47" t="b">
        <f t="shared" si="7"/>
        <v>1</v>
      </c>
      <c r="N6" s="45">
        <f t="shared" si="8"/>
        <v>1</v>
      </c>
      <c r="O6" s="47" t="b">
        <f t="shared" si="9"/>
        <v>1</v>
      </c>
      <c r="P6" s="48" t="b">
        <f t="shared" si="10"/>
        <v>1</v>
      </c>
      <c r="Q6" s="49" t="str">
        <f t="shared" si="11"/>
        <v>Goal Met</v>
      </c>
    </row>
    <row r="7" spans="2:17" ht="19.5" customHeight="1" x14ac:dyDescent="0.25">
      <c r="B7" s="41" t="s">
        <v>88</v>
      </c>
      <c r="C7" s="42">
        <v>3</v>
      </c>
      <c r="D7" s="42">
        <v>125000</v>
      </c>
      <c r="E7" s="43">
        <v>11000</v>
      </c>
      <c r="F7" s="44">
        <f t="shared" si="0"/>
        <v>3</v>
      </c>
      <c r="G7" s="45">
        <f t="shared" si="1"/>
        <v>136000</v>
      </c>
      <c r="H7" s="46">
        <f t="shared" si="2"/>
        <v>8.7999999999999995E-2</v>
      </c>
      <c r="I7" s="45">
        <f t="shared" si="3"/>
        <v>136000</v>
      </c>
      <c r="J7" s="47" t="b">
        <f t="shared" si="4"/>
        <v>1</v>
      </c>
      <c r="K7" s="47" t="b">
        <f t="shared" si="5"/>
        <v>0</v>
      </c>
      <c r="L7" s="47" t="b">
        <f t="shared" si="6"/>
        <v>0</v>
      </c>
      <c r="M7" s="47" t="b">
        <f t="shared" si="7"/>
        <v>1</v>
      </c>
      <c r="N7" s="45">
        <f t="shared" si="8"/>
        <v>0</v>
      </c>
      <c r="O7" s="47" t="b">
        <f t="shared" si="9"/>
        <v>0</v>
      </c>
      <c r="P7" s="48" t="b">
        <f t="shared" si="10"/>
        <v>0</v>
      </c>
      <c r="Q7" s="49" t="str">
        <f t="shared" si="11"/>
        <v>Not Met</v>
      </c>
    </row>
    <row r="8" spans="2:17" ht="19.5" customHeight="1" x14ac:dyDescent="0.25">
      <c r="B8" s="41" t="s">
        <v>127</v>
      </c>
      <c r="C8" s="42">
        <v>7</v>
      </c>
      <c r="D8" s="42">
        <v>90000</v>
      </c>
      <c r="E8" s="43">
        <v>7000</v>
      </c>
      <c r="F8" s="44">
        <f t="shared" si="0"/>
        <v>7</v>
      </c>
      <c r="G8" s="45">
        <f t="shared" si="1"/>
        <v>97000</v>
      </c>
      <c r="H8" s="46">
        <f t="shared" si="2"/>
        <v>7.7777777777777779E-2</v>
      </c>
      <c r="I8" s="45">
        <f t="shared" si="3"/>
        <v>97000</v>
      </c>
      <c r="J8" s="47" t="b">
        <f t="shared" si="4"/>
        <v>1</v>
      </c>
      <c r="K8" s="47" t="b">
        <f t="shared" si="5"/>
        <v>0</v>
      </c>
      <c r="L8" s="47" t="b">
        <f t="shared" si="6"/>
        <v>1</v>
      </c>
      <c r="M8" s="47" t="b">
        <f t="shared" si="7"/>
        <v>1</v>
      </c>
      <c r="N8" s="45">
        <f t="shared" si="8"/>
        <v>1</v>
      </c>
      <c r="O8" s="47" t="b">
        <f t="shared" si="9"/>
        <v>1</v>
      </c>
      <c r="P8" s="48" t="b">
        <f t="shared" si="10"/>
        <v>1</v>
      </c>
      <c r="Q8" s="49" t="str">
        <f t="shared" si="11"/>
        <v>Goal Met</v>
      </c>
    </row>
    <row r="9" spans="2:17" ht="19.5" customHeight="1" x14ac:dyDescent="0.25">
      <c r="B9" s="41" t="s">
        <v>128</v>
      </c>
      <c r="C9" s="42">
        <v>10</v>
      </c>
      <c r="D9" s="42">
        <v>150000</v>
      </c>
      <c r="E9" s="43">
        <v>15000</v>
      </c>
      <c r="F9" s="44">
        <f t="shared" si="0"/>
        <v>10</v>
      </c>
      <c r="G9" s="45">
        <f t="shared" si="1"/>
        <v>165000</v>
      </c>
      <c r="H9" s="46">
        <f t="shared" si="2"/>
        <v>0.1</v>
      </c>
      <c r="I9" s="45">
        <f t="shared" si="3"/>
        <v>165000</v>
      </c>
      <c r="J9" s="47" t="b">
        <f t="shared" si="4"/>
        <v>1</v>
      </c>
      <c r="K9" s="47" t="b">
        <f t="shared" si="5"/>
        <v>0</v>
      </c>
      <c r="L9" s="47" t="b">
        <f t="shared" si="6"/>
        <v>1</v>
      </c>
      <c r="M9" s="47" t="b">
        <f t="shared" si="7"/>
        <v>1</v>
      </c>
      <c r="N9" s="45">
        <f t="shared" si="8"/>
        <v>1</v>
      </c>
      <c r="O9" s="47" t="b">
        <f t="shared" si="9"/>
        <v>1</v>
      </c>
      <c r="P9" s="48" t="b">
        <f t="shared" si="10"/>
        <v>1</v>
      </c>
      <c r="Q9" s="49" t="str">
        <f t="shared" si="11"/>
        <v>Goal Met</v>
      </c>
    </row>
    <row r="10" spans="2:17" ht="19.5" customHeight="1" x14ac:dyDescent="0.25">
      <c r="B10" s="41" t="s">
        <v>129</v>
      </c>
      <c r="C10" s="42">
        <v>8</v>
      </c>
      <c r="D10" s="42">
        <v>130000</v>
      </c>
      <c r="E10" s="43">
        <v>13000</v>
      </c>
      <c r="F10" s="44">
        <f t="shared" si="0"/>
        <v>8</v>
      </c>
      <c r="G10" s="45">
        <f t="shared" si="1"/>
        <v>143000</v>
      </c>
      <c r="H10" s="46">
        <f t="shared" si="2"/>
        <v>0.1</v>
      </c>
      <c r="I10" s="45">
        <f t="shared" si="3"/>
        <v>143000</v>
      </c>
      <c r="J10" s="47" t="b">
        <f t="shared" si="4"/>
        <v>1</v>
      </c>
      <c r="K10" s="47" t="b">
        <f t="shared" si="5"/>
        <v>0</v>
      </c>
      <c r="L10" s="47" t="b">
        <f t="shared" si="6"/>
        <v>1</v>
      </c>
      <c r="M10" s="47" t="b">
        <f t="shared" si="7"/>
        <v>1</v>
      </c>
      <c r="N10" s="45">
        <f t="shared" si="8"/>
        <v>1</v>
      </c>
      <c r="O10" s="47" t="b">
        <f t="shared" si="9"/>
        <v>1</v>
      </c>
      <c r="P10" s="48" t="b">
        <f t="shared" si="10"/>
        <v>1</v>
      </c>
      <c r="Q10" s="49" t="str">
        <f t="shared" si="11"/>
        <v>Goal Met</v>
      </c>
    </row>
    <row r="11" spans="2:17" ht="19.5" customHeight="1" x14ac:dyDescent="0.25">
      <c r="B11" s="41" t="s">
        <v>130</v>
      </c>
      <c r="C11" s="42">
        <v>3</v>
      </c>
      <c r="D11" s="42">
        <v>140000</v>
      </c>
      <c r="E11" s="43">
        <v>14000</v>
      </c>
      <c r="F11" s="44">
        <f t="shared" si="0"/>
        <v>3</v>
      </c>
      <c r="G11" s="45">
        <f t="shared" si="1"/>
        <v>154000</v>
      </c>
      <c r="H11" s="46">
        <f t="shared" si="2"/>
        <v>0.1</v>
      </c>
      <c r="I11" s="45">
        <f t="shared" si="3"/>
        <v>154000</v>
      </c>
      <c r="J11" s="47" t="b">
        <f t="shared" si="4"/>
        <v>1</v>
      </c>
      <c r="K11" s="47" t="b">
        <f t="shared" si="5"/>
        <v>0</v>
      </c>
      <c r="L11" s="47" t="b">
        <f t="shared" si="6"/>
        <v>0</v>
      </c>
      <c r="M11" s="47" t="b">
        <f t="shared" si="7"/>
        <v>1</v>
      </c>
      <c r="N11" s="45">
        <f t="shared" si="8"/>
        <v>0</v>
      </c>
      <c r="O11" s="47" t="b">
        <f t="shared" si="9"/>
        <v>0</v>
      </c>
      <c r="P11" s="48" t="b">
        <f t="shared" si="10"/>
        <v>0</v>
      </c>
      <c r="Q11" s="49" t="str">
        <f t="shared" si="11"/>
        <v>Not Met</v>
      </c>
    </row>
    <row r="12" spans="2:17" ht="19.5" customHeight="1" x14ac:dyDescent="0.25">
      <c r="B12" s="50" t="s">
        <v>131</v>
      </c>
      <c r="C12" s="51">
        <v>5</v>
      </c>
      <c r="D12" s="51">
        <v>115000</v>
      </c>
      <c r="E12" s="52">
        <v>9000</v>
      </c>
      <c r="F12" s="44">
        <f t="shared" si="0"/>
        <v>5</v>
      </c>
      <c r="G12" s="45">
        <f t="shared" si="1"/>
        <v>124000</v>
      </c>
      <c r="H12" s="46">
        <f t="shared" si="2"/>
        <v>7.8260869565217397E-2</v>
      </c>
      <c r="I12" s="45">
        <f t="shared" si="3"/>
        <v>124000</v>
      </c>
      <c r="J12" s="47" t="b">
        <f t="shared" si="4"/>
        <v>1</v>
      </c>
      <c r="K12" s="47" t="b">
        <f t="shared" si="5"/>
        <v>0</v>
      </c>
      <c r="L12" s="47" t="b">
        <f t="shared" si="6"/>
        <v>1</v>
      </c>
      <c r="M12" s="47" t="b">
        <f t="shared" si="7"/>
        <v>1</v>
      </c>
      <c r="N12" s="45">
        <f t="shared" si="8"/>
        <v>1</v>
      </c>
      <c r="O12" s="47" t="b">
        <f t="shared" si="9"/>
        <v>1</v>
      </c>
      <c r="P12" s="48" t="b">
        <f t="shared" si="10"/>
        <v>1</v>
      </c>
      <c r="Q12" s="53" t="str">
        <f t="shared" si="11"/>
        <v>Goal Met</v>
      </c>
    </row>
    <row r="13" spans="2:17" ht="19.5" customHeight="1" x14ac:dyDescent="0.25"/>
    <row r="14" spans="2:17" ht="19.5" customHeight="1" x14ac:dyDescent="0.25">
      <c r="B14" s="54" t="s">
        <v>132</v>
      </c>
    </row>
    <row r="15" spans="2:17" ht="19.5" customHeight="1" x14ac:dyDescent="0.25">
      <c r="B15" s="55" t="s">
        <v>133</v>
      </c>
      <c r="C15" s="56">
        <v>5</v>
      </c>
    </row>
    <row r="16" spans="2:17" ht="19.5" customHeight="1" x14ac:dyDescent="0.25">
      <c r="B16" s="57" t="s">
        <v>134</v>
      </c>
      <c r="C16" s="52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R21"/>
  <sheetViews>
    <sheetView tabSelected="1" workbookViewId="0">
      <selection activeCell="X5" sqref="X5"/>
    </sheetView>
  </sheetViews>
  <sheetFormatPr defaultRowHeight="15" x14ac:dyDescent="0.25"/>
  <cols>
    <col min="1" max="1" width="16.85546875" bestFit="1" customWidth="1"/>
    <col min="2" max="2" width="19.140625" style="25" bestFit="1" customWidth="1"/>
    <col min="3" max="7" width="14.140625" hidden="1" customWidth="1"/>
    <col min="8" max="8" width="14.140625" style="26" customWidth="1"/>
    <col min="9" max="10" width="14.140625" hidden="1" customWidth="1"/>
    <col min="11" max="11" width="18.85546875" hidden="1" customWidth="1"/>
    <col min="12" max="12" width="18.7109375" hidden="1" customWidth="1"/>
    <col min="13" max="13" width="17.28515625" hidden="1" customWidth="1"/>
    <col min="14" max="14" width="14.85546875" hidden="1" customWidth="1"/>
    <col min="15" max="15" width="11.7109375" hidden="1" customWidth="1"/>
    <col min="16" max="16" width="9.42578125" hidden="1" customWidth="1"/>
    <col min="17" max="17" width="19.42578125" style="22" customWidth="1"/>
    <col min="18" max="18" width="7" bestFit="1" customWidth="1"/>
  </cols>
  <sheetData>
    <row r="1" spans="1:18" ht="19.5" customHeight="1" x14ac:dyDescent="0.25">
      <c r="A1" s="13" t="s">
        <v>14</v>
      </c>
      <c r="B1" s="14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5" t="s">
        <v>21</v>
      </c>
      <c r="I1" s="13" t="s">
        <v>22</v>
      </c>
      <c r="J1" s="13" t="s">
        <v>23</v>
      </c>
      <c r="K1" s="17" t="s">
        <v>24</v>
      </c>
      <c r="L1" s="17" t="s">
        <v>25</v>
      </c>
      <c r="M1" s="17" t="s">
        <v>26</v>
      </c>
      <c r="N1" s="17"/>
      <c r="O1" s="17"/>
      <c r="P1" s="17" t="s">
        <v>26</v>
      </c>
      <c r="Q1" s="18">
        <v>85000</v>
      </c>
      <c r="R1" s="17" t="s">
        <v>27</v>
      </c>
    </row>
    <row r="2" spans="1:18" ht="19.5" customHeight="1" x14ac:dyDescent="0.25">
      <c r="A2" s="11" t="s">
        <v>28</v>
      </c>
      <c r="B2" s="20">
        <v>44996.547291666669</v>
      </c>
      <c r="C2" s="11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21">
        <v>135000</v>
      </c>
      <c r="I2" s="27" t="s">
        <v>3</v>
      </c>
      <c r="J2" s="11" t="s">
        <v>34</v>
      </c>
      <c r="K2" t="str">
        <f t="shared" ref="K2:L21" si="0">IF(A2=K$1,"ROLE DESIRED", "NOT DESIRED")</f>
        <v>NOT DESIRED</v>
      </c>
      <c r="L2" t="str">
        <f>IF(A2=L$1,"ROLE DESIRED", "NOT DESIRED")</f>
        <v>NOT DESIRED</v>
      </c>
      <c r="Q2" s="58" t="str">
        <f>IF(H2="","No Data",IF(H2&gt;$Q$1,"Salary &gt; 85K","Salary Low"))</f>
        <v>Salary &gt; 85K</v>
      </c>
    </row>
    <row r="3" spans="1:18" ht="19.5" customHeight="1" x14ac:dyDescent="0.25">
      <c r="A3" s="11" t="s">
        <v>24</v>
      </c>
      <c r="B3" s="20">
        <v>45097.915243055555</v>
      </c>
      <c r="C3" s="11" t="s">
        <v>35</v>
      </c>
      <c r="D3" s="11" t="s">
        <v>36</v>
      </c>
      <c r="E3" s="11" t="s">
        <v>37</v>
      </c>
      <c r="F3" s="11" t="s">
        <v>38</v>
      </c>
      <c r="G3" s="11" t="s">
        <v>39</v>
      </c>
      <c r="H3" s="21">
        <v>35000</v>
      </c>
      <c r="I3" s="27" t="s">
        <v>2</v>
      </c>
      <c r="J3" s="11" t="s">
        <v>40</v>
      </c>
      <c r="K3" t="str">
        <f t="shared" si="0"/>
        <v>ROLE DESIRED</v>
      </c>
      <c r="L3" t="str">
        <f t="shared" ref="L3:L21" si="1">IF(A3=L$1,"ROLE DESIRED", "NOT DESIRED")</f>
        <v>NOT DESIRED</v>
      </c>
      <c r="Q3" s="58" t="str">
        <f t="shared" ref="Q3:Q21" si="2">IF(H3="","No Data",IF(H3&gt;$Q$1,"Salary &gt; 85K","Salary Low"))</f>
        <v>Salary Low</v>
      </c>
    </row>
    <row r="4" spans="1:18" ht="19.5" customHeight="1" x14ac:dyDescent="0.25">
      <c r="A4" s="11" t="s">
        <v>24</v>
      </c>
      <c r="B4" s="20">
        <v>45173.250416666669</v>
      </c>
      <c r="C4" s="11" t="s">
        <v>41</v>
      </c>
      <c r="D4" s="11" t="s">
        <v>30</v>
      </c>
      <c r="E4" s="11" t="s">
        <v>42</v>
      </c>
      <c r="F4" s="11" t="s">
        <v>43</v>
      </c>
      <c r="G4" s="11" t="s">
        <v>33</v>
      </c>
      <c r="H4" s="23"/>
      <c r="I4" s="27" t="s">
        <v>3</v>
      </c>
      <c r="J4" s="11" t="s">
        <v>44</v>
      </c>
      <c r="K4" t="str">
        <f t="shared" si="0"/>
        <v>ROLE DESIRED</v>
      </c>
      <c r="L4" t="str">
        <f t="shared" si="1"/>
        <v>NOT DESIRED</v>
      </c>
      <c r="Q4" s="58" t="str">
        <f t="shared" si="2"/>
        <v>No Data</v>
      </c>
    </row>
    <row r="5" spans="1:18" ht="19.5" customHeight="1" x14ac:dyDescent="0.25">
      <c r="A5" s="11" t="s">
        <v>45</v>
      </c>
      <c r="B5" s="20">
        <v>45156.253321759257</v>
      </c>
      <c r="C5" s="11" t="s">
        <v>46</v>
      </c>
      <c r="D5" s="11" t="s">
        <v>30</v>
      </c>
      <c r="E5" s="11" t="s">
        <v>47</v>
      </c>
      <c r="F5" s="11" t="s">
        <v>43</v>
      </c>
      <c r="G5" s="11" t="s">
        <v>33</v>
      </c>
      <c r="H5" s="23"/>
      <c r="I5" s="27" t="s">
        <v>3</v>
      </c>
      <c r="J5" s="11" t="s">
        <v>48</v>
      </c>
      <c r="K5" t="str">
        <f t="shared" si="0"/>
        <v>NOT DESIRED</v>
      </c>
      <c r="L5" t="str">
        <f t="shared" si="1"/>
        <v>NOT DESIRED</v>
      </c>
      <c r="Q5" s="58" t="str">
        <f t="shared" si="2"/>
        <v>No Data</v>
      </c>
    </row>
    <row r="6" spans="1:18" ht="19.5" customHeight="1" x14ac:dyDescent="0.25">
      <c r="A6" s="11" t="s">
        <v>49</v>
      </c>
      <c r="B6" s="20">
        <v>45147.802951388891</v>
      </c>
      <c r="C6" s="11" t="s">
        <v>50</v>
      </c>
      <c r="D6" s="11" t="s">
        <v>51</v>
      </c>
      <c r="E6" s="11" t="s">
        <v>52</v>
      </c>
      <c r="F6" s="11" t="s">
        <v>43</v>
      </c>
      <c r="G6" s="11" t="s">
        <v>33</v>
      </c>
      <c r="H6" s="23"/>
      <c r="I6" s="27" t="s">
        <v>3</v>
      </c>
      <c r="J6" s="11" t="s">
        <v>53</v>
      </c>
      <c r="K6" t="str">
        <f t="shared" si="0"/>
        <v>NOT DESIRED</v>
      </c>
      <c r="L6" t="str">
        <f t="shared" si="1"/>
        <v>NOT DESIRED</v>
      </c>
      <c r="Q6" s="58" t="str">
        <f t="shared" si="2"/>
        <v>No Data</v>
      </c>
    </row>
    <row r="7" spans="1:18" ht="19.5" customHeight="1" x14ac:dyDescent="0.25">
      <c r="A7" s="11" t="s">
        <v>45</v>
      </c>
      <c r="B7" s="20">
        <v>45202.753101851849</v>
      </c>
      <c r="C7" s="11" t="s">
        <v>54</v>
      </c>
      <c r="D7" s="11" t="s">
        <v>30</v>
      </c>
      <c r="E7" s="11" t="s">
        <v>55</v>
      </c>
      <c r="F7" s="11" t="s">
        <v>43</v>
      </c>
      <c r="G7" s="11" t="s">
        <v>56</v>
      </c>
      <c r="H7" s="23"/>
      <c r="I7" s="27" t="s">
        <v>3</v>
      </c>
      <c r="J7" s="11" t="s">
        <v>57</v>
      </c>
      <c r="K7" t="str">
        <f t="shared" si="0"/>
        <v>NOT DESIRED</v>
      </c>
      <c r="L7" t="str">
        <f t="shared" si="1"/>
        <v>NOT DESIRED</v>
      </c>
      <c r="Q7" s="58" t="str">
        <f t="shared" si="2"/>
        <v>No Data</v>
      </c>
    </row>
    <row r="8" spans="1:18" ht="19.5" customHeight="1" x14ac:dyDescent="0.25">
      <c r="A8" s="11" t="s">
        <v>24</v>
      </c>
      <c r="B8" s="20">
        <v>44949.850462962961</v>
      </c>
      <c r="C8" s="11" t="s">
        <v>58</v>
      </c>
      <c r="D8" s="11" t="s">
        <v>30</v>
      </c>
      <c r="E8" s="11" t="s">
        <v>59</v>
      </c>
      <c r="F8" s="11" t="s">
        <v>32</v>
      </c>
      <c r="G8" s="11" t="s">
        <v>33</v>
      </c>
      <c r="H8" s="23"/>
      <c r="I8" s="27" t="s">
        <v>3</v>
      </c>
      <c r="J8" s="11" t="s">
        <v>60</v>
      </c>
      <c r="K8" t="str">
        <f t="shared" si="0"/>
        <v>ROLE DESIRED</v>
      </c>
      <c r="L8" t="str">
        <f t="shared" si="1"/>
        <v>NOT DESIRED</v>
      </c>
      <c r="Q8" s="58" t="str">
        <f t="shared" si="2"/>
        <v>No Data</v>
      </c>
    </row>
    <row r="9" spans="1:18" ht="19.5" customHeight="1" x14ac:dyDescent="0.25">
      <c r="A9" s="11" t="s">
        <v>24</v>
      </c>
      <c r="B9" s="20">
        <v>45001.627175925925</v>
      </c>
      <c r="C9" s="11" t="s">
        <v>61</v>
      </c>
      <c r="D9" s="11" t="s">
        <v>30</v>
      </c>
      <c r="E9" s="11" t="s">
        <v>62</v>
      </c>
      <c r="F9" s="11" t="s">
        <v>63</v>
      </c>
      <c r="G9" s="11" t="s">
        <v>33</v>
      </c>
      <c r="H9" s="21">
        <v>115000</v>
      </c>
      <c r="I9" s="27" t="s">
        <v>3</v>
      </c>
      <c r="J9" s="11" t="s">
        <v>64</v>
      </c>
      <c r="K9" t="str">
        <f t="shared" si="0"/>
        <v>ROLE DESIRED</v>
      </c>
      <c r="L9" t="str">
        <f t="shared" si="1"/>
        <v>NOT DESIRED</v>
      </c>
      <c r="Q9" s="58" t="str">
        <f t="shared" si="2"/>
        <v>Salary &gt; 85K</v>
      </c>
    </row>
    <row r="10" spans="1:18" ht="19.5" customHeight="1" x14ac:dyDescent="0.25">
      <c r="A10" s="11" t="s">
        <v>24</v>
      </c>
      <c r="B10" s="20">
        <v>45041.375868055555</v>
      </c>
      <c r="C10" s="11" t="s">
        <v>65</v>
      </c>
      <c r="D10" s="11" t="s">
        <v>30</v>
      </c>
      <c r="E10" s="11" t="s">
        <v>66</v>
      </c>
      <c r="F10" s="11" t="s">
        <v>32</v>
      </c>
      <c r="G10" s="11" t="s">
        <v>39</v>
      </c>
      <c r="H10" s="23"/>
      <c r="I10" s="27" t="s">
        <v>3</v>
      </c>
      <c r="J10" s="11" t="s">
        <v>67</v>
      </c>
      <c r="K10" t="str">
        <f t="shared" si="0"/>
        <v>ROLE DESIRED</v>
      </c>
      <c r="L10" t="str">
        <f t="shared" si="1"/>
        <v>NOT DESIRED</v>
      </c>
      <c r="Q10" s="58" t="str">
        <f t="shared" si="2"/>
        <v>No Data</v>
      </c>
    </row>
    <row r="11" spans="1:18" ht="19.5" customHeight="1" x14ac:dyDescent="0.25">
      <c r="A11" s="11" t="s">
        <v>24</v>
      </c>
      <c r="B11" s="20">
        <v>45106.587094907409</v>
      </c>
      <c r="C11" s="11" t="s">
        <v>68</v>
      </c>
      <c r="D11" s="11" t="s">
        <v>30</v>
      </c>
      <c r="E11" s="11" t="s">
        <v>69</v>
      </c>
      <c r="F11" s="11" t="s">
        <v>70</v>
      </c>
      <c r="G11" s="11" t="s">
        <v>33</v>
      </c>
      <c r="H11" s="21">
        <v>105000</v>
      </c>
      <c r="I11" s="27" t="s">
        <v>3</v>
      </c>
      <c r="J11" s="11" t="s">
        <v>71</v>
      </c>
      <c r="K11" t="str">
        <f t="shared" si="0"/>
        <v>ROLE DESIRED</v>
      </c>
      <c r="L11" t="str">
        <f t="shared" si="1"/>
        <v>NOT DESIRED</v>
      </c>
      <c r="Q11" s="58" t="str">
        <f t="shared" si="2"/>
        <v>Salary &gt; 85K</v>
      </c>
    </row>
    <row r="12" spans="1:18" ht="19.5" customHeight="1" x14ac:dyDescent="0.25">
      <c r="A12" s="11" t="s">
        <v>45</v>
      </c>
      <c r="B12" s="20">
        <v>45029.919687499998</v>
      </c>
      <c r="C12" s="11" t="s">
        <v>72</v>
      </c>
      <c r="D12" s="11" t="s">
        <v>30</v>
      </c>
      <c r="E12" s="11" t="s">
        <v>73</v>
      </c>
      <c r="F12" s="11" t="s">
        <v>63</v>
      </c>
      <c r="G12" s="11" t="s">
        <v>33</v>
      </c>
      <c r="H12" s="21">
        <v>195000</v>
      </c>
      <c r="I12" s="27" t="s">
        <v>3</v>
      </c>
      <c r="J12" s="11" t="s">
        <v>74</v>
      </c>
      <c r="K12" t="str">
        <f t="shared" si="0"/>
        <v>NOT DESIRED</v>
      </c>
      <c r="L12" t="str">
        <f t="shared" si="1"/>
        <v>NOT DESIRED</v>
      </c>
      <c r="Q12" s="58" t="str">
        <f t="shared" si="2"/>
        <v>Salary &gt; 85K</v>
      </c>
    </row>
    <row r="13" spans="1:18" ht="19.5" customHeight="1" x14ac:dyDescent="0.25">
      <c r="A13" s="11" t="s">
        <v>75</v>
      </c>
      <c r="B13" s="20">
        <v>45091.502789351849</v>
      </c>
      <c r="C13" s="11" t="s">
        <v>76</v>
      </c>
      <c r="D13" s="11" t="s">
        <v>30</v>
      </c>
      <c r="E13" s="11" t="s">
        <v>77</v>
      </c>
      <c r="F13" s="11" t="s">
        <v>63</v>
      </c>
      <c r="G13" s="11" t="s">
        <v>33</v>
      </c>
      <c r="H13" s="21">
        <v>165000</v>
      </c>
      <c r="I13" s="27" t="s">
        <v>3</v>
      </c>
      <c r="J13" s="11" t="s">
        <v>78</v>
      </c>
      <c r="K13" t="str">
        <f t="shared" si="0"/>
        <v>NOT DESIRED</v>
      </c>
      <c r="L13" t="str">
        <f t="shared" si="1"/>
        <v>NOT DESIRED</v>
      </c>
      <c r="Q13" s="58" t="str">
        <f t="shared" si="2"/>
        <v>Salary &gt; 85K</v>
      </c>
    </row>
    <row r="14" spans="1:18" ht="19.5" customHeight="1" x14ac:dyDescent="0.25">
      <c r="A14" s="11" t="s">
        <v>45</v>
      </c>
      <c r="B14" s="20">
        <v>45175.543124999997</v>
      </c>
      <c r="C14" s="11" t="s">
        <v>79</v>
      </c>
      <c r="D14" s="11" t="s">
        <v>30</v>
      </c>
      <c r="E14" s="11" t="s">
        <v>80</v>
      </c>
      <c r="F14" s="11" t="s">
        <v>81</v>
      </c>
      <c r="G14" s="11" t="s">
        <v>33</v>
      </c>
      <c r="H14" s="24">
        <v>281450.5</v>
      </c>
      <c r="I14" s="27" t="s">
        <v>3</v>
      </c>
      <c r="J14" s="11" t="s">
        <v>82</v>
      </c>
      <c r="K14" t="str">
        <f t="shared" si="0"/>
        <v>NOT DESIRED</v>
      </c>
      <c r="L14" t="str">
        <f t="shared" si="1"/>
        <v>NOT DESIRED</v>
      </c>
      <c r="Q14" s="58" t="str">
        <f t="shared" si="2"/>
        <v>Salary &gt; 85K</v>
      </c>
    </row>
    <row r="15" spans="1:18" ht="19.5" customHeight="1" x14ac:dyDescent="0.25">
      <c r="A15" s="11" t="s">
        <v>45</v>
      </c>
      <c r="B15" s="20">
        <v>45117.778391203705</v>
      </c>
      <c r="C15" s="11" t="s">
        <v>83</v>
      </c>
      <c r="D15" s="11" t="s">
        <v>84</v>
      </c>
      <c r="E15" s="11" t="s">
        <v>85</v>
      </c>
      <c r="F15" s="11" t="s">
        <v>86</v>
      </c>
      <c r="G15" s="11" t="s">
        <v>33</v>
      </c>
      <c r="H15" s="21">
        <v>70000</v>
      </c>
      <c r="I15" s="27" t="s">
        <v>3</v>
      </c>
      <c r="J15" s="11" t="s">
        <v>87</v>
      </c>
      <c r="K15" t="str">
        <f t="shared" si="0"/>
        <v>NOT DESIRED</v>
      </c>
      <c r="L15" t="str">
        <f t="shared" si="1"/>
        <v>NOT DESIRED</v>
      </c>
      <c r="Q15" s="58" t="str">
        <f t="shared" si="2"/>
        <v>Salary Low</v>
      </c>
    </row>
    <row r="16" spans="1:18" ht="19.5" customHeight="1" x14ac:dyDescent="0.25">
      <c r="A16" s="11" t="s">
        <v>88</v>
      </c>
      <c r="B16" s="20">
        <v>44938.614351851851</v>
      </c>
      <c r="C16" s="11" t="s">
        <v>89</v>
      </c>
      <c r="D16" s="11" t="s">
        <v>90</v>
      </c>
      <c r="E16" s="11" t="s">
        <v>91</v>
      </c>
      <c r="F16" s="11" t="s">
        <v>86</v>
      </c>
      <c r="G16" s="11" t="s">
        <v>33</v>
      </c>
      <c r="H16" s="24">
        <v>98301.5</v>
      </c>
      <c r="I16" s="27" t="s">
        <v>3</v>
      </c>
      <c r="J16" s="11" t="s">
        <v>92</v>
      </c>
      <c r="K16" t="str">
        <f t="shared" si="0"/>
        <v>NOT DESIRED</v>
      </c>
      <c r="L16" t="str">
        <f t="shared" si="1"/>
        <v>NOT DESIRED</v>
      </c>
      <c r="Q16" s="58" t="str">
        <f t="shared" si="2"/>
        <v>Salary &gt; 85K</v>
      </c>
    </row>
    <row r="17" spans="1:17" ht="19.5" customHeight="1" x14ac:dyDescent="0.25">
      <c r="A17" s="11" t="s">
        <v>88</v>
      </c>
      <c r="B17" s="20">
        <v>44985.354097222225</v>
      </c>
      <c r="C17" s="11" t="s">
        <v>93</v>
      </c>
      <c r="D17" s="11" t="s">
        <v>94</v>
      </c>
      <c r="E17" s="11" t="s">
        <v>95</v>
      </c>
      <c r="F17" s="11" t="s">
        <v>86</v>
      </c>
      <c r="G17" s="11" t="s">
        <v>33</v>
      </c>
      <c r="H17" s="21">
        <v>89100</v>
      </c>
      <c r="I17" s="27" t="s">
        <v>3</v>
      </c>
      <c r="J17" s="11" t="s">
        <v>96</v>
      </c>
      <c r="K17" t="str">
        <f t="shared" si="0"/>
        <v>NOT DESIRED</v>
      </c>
      <c r="L17" t="str">
        <f t="shared" si="1"/>
        <v>NOT DESIRED</v>
      </c>
      <c r="Q17" s="58" t="str">
        <f t="shared" si="2"/>
        <v>Salary &gt; 85K</v>
      </c>
    </row>
    <row r="18" spans="1:17" ht="19.5" customHeight="1" x14ac:dyDescent="0.25">
      <c r="A18" s="11" t="s">
        <v>25</v>
      </c>
      <c r="B18" s="20">
        <v>45063.792291666665</v>
      </c>
      <c r="C18" s="11" t="s">
        <v>97</v>
      </c>
      <c r="D18" s="11" t="s">
        <v>30</v>
      </c>
      <c r="E18" s="11" t="s">
        <v>98</v>
      </c>
      <c r="F18" s="11" t="s">
        <v>63</v>
      </c>
      <c r="G18" s="11" t="s">
        <v>39</v>
      </c>
      <c r="H18" s="23"/>
      <c r="I18" s="27" t="s">
        <v>3</v>
      </c>
      <c r="J18" s="11" t="s">
        <v>99</v>
      </c>
      <c r="K18" t="str">
        <f t="shared" si="0"/>
        <v>NOT DESIRED</v>
      </c>
      <c r="L18" t="str">
        <f t="shared" si="1"/>
        <v>ROLE DESIRED</v>
      </c>
      <c r="Q18" s="58" t="str">
        <f t="shared" si="2"/>
        <v>No Data</v>
      </c>
    </row>
    <row r="19" spans="1:17" ht="19.5" customHeight="1" x14ac:dyDescent="0.25">
      <c r="A19" s="11" t="s">
        <v>45</v>
      </c>
      <c r="B19" s="20">
        <v>45017.004837962966</v>
      </c>
      <c r="C19" s="11" t="s">
        <v>100</v>
      </c>
      <c r="D19" s="11" t="s">
        <v>51</v>
      </c>
      <c r="E19" s="11" t="s">
        <v>101</v>
      </c>
      <c r="F19" s="11" t="s">
        <v>63</v>
      </c>
      <c r="G19" s="11" t="s">
        <v>33</v>
      </c>
      <c r="H19" s="21">
        <v>87500</v>
      </c>
      <c r="I19" s="27" t="s">
        <v>3</v>
      </c>
      <c r="J19" s="11" t="s">
        <v>102</v>
      </c>
      <c r="K19" t="str">
        <f t="shared" si="0"/>
        <v>NOT DESIRED</v>
      </c>
      <c r="L19" t="str">
        <f t="shared" si="1"/>
        <v>NOT DESIRED</v>
      </c>
      <c r="Q19" s="58" t="str">
        <f t="shared" si="2"/>
        <v>Salary &gt; 85K</v>
      </c>
    </row>
    <row r="20" spans="1:17" ht="19.5" customHeight="1" x14ac:dyDescent="0.25">
      <c r="A20" s="11" t="s">
        <v>45</v>
      </c>
      <c r="B20" s="20">
        <v>45169.64203703704</v>
      </c>
      <c r="C20" s="11" t="s">
        <v>35</v>
      </c>
      <c r="D20" s="11" t="s">
        <v>51</v>
      </c>
      <c r="E20" s="11" t="s">
        <v>103</v>
      </c>
      <c r="F20" s="11" t="s">
        <v>70</v>
      </c>
      <c r="G20" s="11" t="s">
        <v>39</v>
      </c>
      <c r="H20" s="23"/>
      <c r="I20" s="27" t="s">
        <v>2</v>
      </c>
      <c r="J20" s="11" t="s">
        <v>104</v>
      </c>
      <c r="K20" t="str">
        <f t="shared" si="0"/>
        <v>NOT DESIRED</v>
      </c>
      <c r="L20" t="str">
        <f t="shared" si="1"/>
        <v>NOT DESIRED</v>
      </c>
      <c r="Q20" s="58" t="str">
        <f t="shared" si="2"/>
        <v>No Data</v>
      </c>
    </row>
    <row r="21" spans="1:17" ht="20.25" customHeight="1" x14ac:dyDescent="0.25">
      <c r="A21" s="11" t="s">
        <v>25</v>
      </c>
      <c r="B21" s="20">
        <v>45000.542685185188</v>
      </c>
      <c r="C21" s="11" t="s">
        <v>105</v>
      </c>
      <c r="D21" s="11" t="s">
        <v>30</v>
      </c>
      <c r="E21" s="11" t="s">
        <v>106</v>
      </c>
      <c r="F21" s="11" t="s">
        <v>107</v>
      </c>
      <c r="G21" s="11" t="s">
        <v>33</v>
      </c>
      <c r="H21" s="21">
        <v>90000</v>
      </c>
      <c r="I21" s="27" t="s">
        <v>3</v>
      </c>
      <c r="J21" s="11" t="s">
        <v>108</v>
      </c>
      <c r="K21" t="str">
        <f t="shared" si="0"/>
        <v>NOT DESIRED</v>
      </c>
      <c r="L21" t="str">
        <f t="shared" si="1"/>
        <v>ROLE DESIRED</v>
      </c>
      <c r="Q21" s="58" t="str">
        <f t="shared" si="2"/>
        <v>Salary &gt; 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XFD21"/>
  <sheetViews>
    <sheetView workbookViewId="0"/>
  </sheetViews>
  <sheetFormatPr defaultRowHeight="15" x14ac:dyDescent="0.25"/>
  <cols>
    <col min="1" max="1" width="16.85546875" bestFit="1" customWidth="1"/>
    <col min="2" max="2" width="14.140625" style="25" hidden="1" bestFit="1" customWidth="1"/>
    <col min="3" max="7" width="14.140625" hidden="1" bestFit="1" customWidth="1"/>
    <col min="8" max="8" width="13.85546875" style="26" bestFit="1" customWidth="1"/>
    <col min="9" max="10" width="14.140625" hidden="1" bestFit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0.7109375" style="22" bestFit="1" customWidth="1"/>
    <col min="18" max="18" width="12.42578125" bestFit="1" customWidth="1"/>
    <col min="19" max="16383" width="14.140625" bestFit="1" customWidth="1"/>
    <col min="16384" max="16384" width="14.140625" style="22" bestFit="1" customWidth="1"/>
  </cols>
  <sheetData>
    <row r="1" spans="1:18 16384:16384" ht="19.5" customHeight="1" x14ac:dyDescent="0.25">
      <c r="A1" s="13" t="s">
        <v>14</v>
      </c>
      <c r="B1" s="14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5" t="s">
        <v>21</v>
      </c>
      <c r="I1" s="16" t="s">
        <v>22</v>
      </c>
      <c r="J1" s="13" t="s">
        <v>23</v>
      </c>
      <c r="K1" s="17" t="s">
        <v>24</v>
      </c>
      <c r="L1" s="17" t="s">
        <v>25</v>
      </c>
      <c r="M1" s="17" t="s">
        <v>26</v>
      </c>
      <c r="N1" s="17"/>
      <c r="O1" s="17"/>
      <c r="P1" s="17" t="s">
        <v>26</v>
      </c>
      <c r="Q1" s="18">
        <v>85000</v>
      </c>
      <c r="R1" s="17" t="s">
        <v>27</v>
      </c>
      <c r="XFD1" s="19">
        <f>SUM(Q1:XFC1)</f>
        <v>85000</v>
      </c>
    </row>
    <row r="2" spans="1:18 16384:16384" ht="19.5" customHeight="1" x14ac:dyDescent="0.25">
      <c r="A2" s="11" t="s">
        <v>28</v>
      </c>
      <c r="B2" s="20">
        <v>44996.547291666669</v>
      </c>
      <c r="C2" s="11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21">
        <v>135000</v>
      </c>
      <c r="I2" t="s">
        <v>3</v>
      </c>
      <c r="J2" t="s">
        <v>34</v>
      </c>
      <c r="K2" t="str">
        <f>IF($A2=$K$1, "Role Desired", "NOT Desired")</f>
        <v>NOT Desired</v>
      </c>
      <c r="L2" t="str">
        <f t="shared" ref="L2:L21" si="0">IF($A2=$L$1, "Role Desired", "NOT Desired")</f>
        <v>NOT Desired</v>
      </c>
      <c r="M2" t="str">
        <f t="shared" ref="M2:M21" si="1">IF($A2=$K$1, "Role Desired",IF($A2=$L$1, "Role Desired", "NOT Desired"))</f>
        <v>NOT Desired</v>
      </c>
      <c r="N2" t="b">
        <f t="shared" ref="N2:N21" si="2">AND($A2=$K$1, $A2=$L$1)</f>
        <v>0</v>
      </c>
      <c r="O2" t="b">
        <f t="shared" ref="O2:O21" si="3">OR($A2=$K$1, $A2=$L$1)</f>
        <v>0</v>
      </c>
      <c r="P2" t="str">
        <f t="shared" ref="P2:P21" si="4">IF(OR($A2=$K$1, $A2=$L$1), "Role Desired", "NOT Desired")</f>
        <v>NOT Desired</v>
      </c>
      <c r="Q2" s="22" t="str">
        <f t="shared" ref="Q2:Q21" si="5">IF($H2&gt;$Q$1, "Salary &gt; 85K", "Salary Low")</f>
        <v>Salary &gt; 85K</v>
      </c>
      <c r="R2" t="str">
        <f t="shared" ref="R2:R21" si="6">_xlfn.IFS(H2="", "No Data", H2&gt;=$Q$1, "Salary &gt; 85K", TRUE, "Salary Low")</f>
        <v>Salary &gt; 85K</v>
      </c>
    </row>
    <row r="3" spans="1:18 16384:16384" ht="19.5" customHeight="1" x14ac:dyDescent="0.25">
      <c r="A3" s="11" t="s">
        <v>24</v>
      </c>
      <c r="B3" s="20">
        <v>45097.915243055555</v>
      </c>
      <c r="C3" s="11" t="s">
        <v>35</v>
      </c>
      <c r="D3" s="11" t="s">
        <v>36</v>
      </c>
      <c r="E3" s="11" t="s">
        <v>37</v>
      </c>
      <c r="F3" s="11" t="s">
        <v>38</v>
      </c>
      <c r="G3" s="11" t="s">
        <v>39</v>
      </c>
      <c r="H3" s="21">
        <v>35000</v>
      </c>
      <c r="I3" t="s">
        <v>2</v>
      </c>
      <c r="J3" t="s">
        <v>40</v>
      </c>
      <c r="K3" t="str">
        <f>IF($A3=$K$1, "Role Desired", "NOT Desired")</f>
        <v>Role Desired</v>
      </c>
      <c r="L3" t="str">
        <f t="shared" si="0"/>
        <v>NOT Desired</v>
      </c>
      <c r="M3" t="str">
        <f t="shared" si="1"/>
        <v>Role Desired</v>
      </c>
      <c r="N3" t="b">
        <f t="shared" si="2"/>
        <v>0</v>
      </c>
      <c r="O3" t="b">
        <f t="shared" si="3"/>
        <v>1</v>
      </c>
      <c r="P3" t="str">
        <f t="shared" si="4"/>
        <v>Role Desired</v>
      </c>
      <c r="Q3" s="22" t="str">
        <f t="shared" si="5"/>
        <v>Salary Low</v>
      </c>
      <c r="R3" t="str">
        <f t="shared" si="6"/>
        <v>Salary Low</v>
      </c>
    </row>
    <row r="4" spans="1:18 16384:16384" ht="19.5" customHeight="1" x14ac:dyDescent="0.25">
      <c r="A4" s="11" t="s">
        <v>24</v>
      </c>
      <c r="B4" s="20">
        <v>45173.250416666669</v>
      </c>
      <c r="C4" s="11" t="s">
        <v>41</v>
      </c>
      <c r="D4" s="11" t="s">
        <v>30</v>
      </c>
      <c r="E4" s="11" t="s">
        <v>42</v>
      </c>
      <c r="F4" s="11" t="s">
        <v>43</v>
      </c>
      <c r="G4" s="11" t="s">
        <v>33</v>
      </c>
      <c r="H4" s="23"/>
      <c r="I4" t="s">
        <v>3</v>
      </c>
      <c r="J4" t="s">
        <v>44</v>
      </c>
      <c r="K4" t="str">
        <f t="shared" ref="K4:K21" si="7">_xlfn.IFS(R24="", "No Data", R24&gt;=$Q$1, "Salary &gt; 85K", TRUE, "Salary Low")</f>
        <v>No Data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s="22" t="str">
        <f t="shared" si="5"/>
        <v>Salary Low</v>
      </c>
      <c r="R4" t="str">
        <f t="shared" si="6"/>
        <v>No Data</v>
      </c>
    </row>
    <row r="5" spans="1:18 16384:16384" ht="19.5" customHeight="1" x14ac:dyDescent="0.25">
      <c r="A5" s="11" t="s">
        <v>45</v>
      </c>
      <c r="B5" s="20">
        <v>45156.253321759257</v>
      </c>
      <c r="C5" s="11" t="s">
        <v>46</v>
      </c>
      <c r="D5" s="11" t="s">
        <v>30</v>
      </c>
      <c r="E5" s="11" t="s">
        <v>47</v>
      </c>
      <c r="F5" s="11" t="s">
        <v>43</v>
      </c>
      <c r="G5" s="11" t="s">
        <v>33</v>
      </c>
      <c r="H5" s="23"/>
      <c r="I5" t="s">
        <v>3</v>
      </c>
      <c r="J5" t="s">
        <v>48</v>
      </c>
      <c r="K5" t="str">
        <f t="shared" si="7"/>
        <v>No Data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s="22" t="str">
        <f t="shared" si="5"/>
        <v>Salary Low</v>
      </c>
      <c r="R5" t="str">
        <f t="shared" si="6"/>
        <v>No Data</v>
      </c>
    </row>
    <row r="6" spans="1:18 16384:16384" ht="19.5" customHeight="1" x14ac:dyDescent="0.25">
      <c r="A6" s="11" t="s">
        <v>49</v>
      </c>
      <c r="B6" s="20">
        <v>45147.802951388891</v>
      </c>
      <c r="C6" s="11" t="s">
        <v>50</v>
      </c>
      <c r="D6" s="11" t="s">
        <v>51</v>
      </c>
      <c r="E6" s="11" t="s">
        <v>52</v>
      </c>
      <c r="F6" s="11" t="s">
        <v>43</v>
      </c>
      <c r="G6" s="11" t="s">
        <v>33</v>
      </c>
      <c r="H6" s="23"/>
      <c r="I6" t="s">
        <v>3</v>
      </c>
      <c r="J6" t="s">
        <v>53</v>
      </c>
      <c r="K6" t="str">
        <f t="shared" si="7"/>
        <v>No Data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s="22" t="str">
        <f t="shared" si="5"/>
        <v>Salary Low</v>
      </c>
      <c r="R6" t="str">
        <f t="shared" si="6"/>
        <v>No Data</v>
      </c>
    </row>
    <row r="7" spans="1:18 16384:16384" ht="19.5" customHeight="1" x14ac:dyDescent="0.25">
      <c r="A7" s="11" t="s">
        <v>45</v>
      </c>
      <c r="B7" s="20">
        <v>45202.753101851849</v>
      </c>
      <c r="C7" s="11" t="s">
        <v>54</v>
      </c>
      <c r="D7" s="11" t="s">
        <v>30</v>
      </c>
      <c r="E7" s="11" t="s">
        <v>55</v>
      </c>
      <c r="F7" s="11" t="s">
        <v>43</v>
      </c>
      <c r="G7" s="11" t="s">
        <v>56</v>
      </c>
      <c r="H7" s="23"/>
      <c r="I7" t="s">
        <v>3</v>
      </c>
      <c r="J7" t="s">
        <v>57</v>
      </c>
      <c r="K7" t="str">
        <f t="shared" si="7"/>
        <v>No Data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s="22" t="str">
        <f t="shared" si="5"/>
        <v>Salary Low</v>
      </c>
      <c r="R7" t="str">
        <f t="shared" si="6"/>
        <v>No Data</v>
      </c>
    </row>
    <row r="8" spans="1:18 16384:16384" ht="19.5" customHeight="1" x14ac:dyDescent="0.25">
      <c r="A8" s="11" t="s">
        <v>24</v>
      </c>
      <c r="B8" s="20">
        <v>44949.850462962961</v>
      </c>
      <c r="C8" s="11" t="s">
        <v>58</v>
      </c>
      <c r="D8" s="11" t="s">
        <v>30</v>
      </c>
      <c r="E8" s="11" t="s">
        <v>59</v>
      </c>
      <c r="F8" s="11" t="s">
        <v>32</v>
      </c>
      <c r="G8" s="11" t="s">
        <v>33</v>
      </c>
      <c r="H8" s="23"/>
      <c r="I8" t="s">
        <v>3</v>
      </c>
      <c r="J8" t="s">
        <v>60</v>
      </c>
      <c r="K8" t="str">
        <f t="shared" si="7"/>
        <v>No Data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s="22" t="str">
        <f t="shared" si="5"/>
        <v>Salary Low</v>
      </c>
      <c r="R8" t="str">
        <f t="shared" si="6"/>
        <v>No Data</v>
      </c>
    </row>
    <row r="9" spans="1:18 16384:16384" ht="19.5" customHeight="1" x14ac:dyDescent="0.25">
      <c r="A9" s="11" t="s">
        <v>24</v>
      </c>
      <c r="B9" s="20">
        <v>45001.627175925925</v>
      </c>
      <c r="C9" s="11" t="s">
        <v>61</v>
      </c>
      <c r="D9" s="11" t="s">
        <v>30</v>
      </c>
      <c r="E9" s="11" t="s">
        <v>62</v>
      </c>
      <c r="F9" s="11" t="s">
        <v>63</v>
      </c>
      <c r="G9" s="11" t="s">
        <v>33</v>
      </c>
      <c r="H9" s="21">
        <v>115000</v>
      </c>
      <c r="I9" t="s">
        <v>3</v>
      </c>
      <c r="J9" t="s">
        <v>64</v>
      </c>
      <c r="K9" t="str">
        <f t="shared" si="7"/>
        <v>No Data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s="22" t="str">
        <f t="shared" si="5"/>
        <v>Salary &gt; 85K</v>
      </c>
      <c r="R9" t="str">
        <f t="shared" si="6"/>
        <v>Salary &gt; 85K</v>
      </c>
    </row>
    <row r="10" spans="1:18 16384:16384" ht="19.5" customHeight="1" x14ac:dyDescent="0.25">
      <c r="A10" s="11" t="s">
        <v>24</v>
      </c>
      <c r="B10" s="20">
        <v>45041.375868055555</v>
      </c>
      <c r="C10" s="11" t="s">
        <v>65</v>
      </c>
      <c r="D10" s="11" t="s">
        <v>30</v>
      </c>
      <c r="E10" s="11" t="s">
        <v>66</v>
      </c>
      <c r="F10" s="11" t="s">
        <v>32</v>
      </c>
      <c r="G10" s="11" t="s">
        <v>39</v>
      </c>
      <c r="H10" s="23"/>
      <c r="I10" t="s">
        <v>3</v>
      </c>
      <c r="J10" t="s">
        <v>67</v>
      </c>
      <c r="K10" t="str">
        <f t="shared" si="7"/>
        <v>No Data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s="22" t="str">
        <f t="shared" si="5"/>
        <v>Salary Low</v>
      </c>
      <c r="R10" t="str">
        <f t="shared" si="6"/>
        <v>No Data</v>
      </c>
    </row>
    <row r="11" spans="1:18 16384:16384" ht="19.5" customHeight="1" x14ac:dyDescent="0.25">
      <c r="A11" s="11" t="s">
        <v>24</v>
      </c>
      <c r="B11" s="20">
        <v>45106.587094907409</v>
      </c>
      <c r="C11" s="11" t="s">
        <v>68</v>
      </c>
      <c r="D11" s="11" t="s">
        <v>30</v>
      </c>
      <c r="E11" s="11" t="s">
        <v>69</v>
      </c>
      <c r="F11" s="11" t="s">
        <v>70</v>
      </c>
      <c r="G11" s="11" t="s">
        <v>33</v>
      </c>
      <c r="H11" s="21">
        <v>105000</v>
      </c>
      <c r="I11" t="s">
        <v>3</v>
      </c>
      <c r="J11" t="s">
        <v>71</v>
      </c>
      <c r="K11" t="str">
        <f t="shared" si="7"/>
        <v>No Data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s="22" t="str">
        <f t="shared" si="5"/>
        <v>Salary &gt; 85K</v>
      </c>
      <c r="R11" t="str">
        <f t="shared" si="6"/>
        <v>Salary &gt; 85K</v>
      </c>
    </row>
    <row r="12" spans="1:18 16384:16384" ht="19.5" customHeight="1" x14ac:dyDescent="0.25">
      <c r="A12" s="11" t="s">
        <v>45</v>
      </c>
      <c r="B12" s="20">
        <v>45029.919687499998</v>
      </c>
      <c r="C12" s="11" t="s">
        <v>72</v>
      </c>
      <c r="D12" s="11" t="s">
        <v>30</v>
      </c>
      <c r="E12" s="11" t="s">
        <v>73</v>
      </c>
      <c r="F12" s="11" t="s">
        <v>63</v>
      </c>
      <c r="G12" s="11" t="s">
        <v>33</v>
      </c>
      <c r="H12" s="21">
        <v>195000</v>
      </c>
      <c r="I12" t="s">
        <v>3</v>
      </c>
      <c r="J12" t="s">
        <v>74</v>
      </c>
      <c r="K12" t="str">
        <f t="shared" si="7"/>
        <v>No Data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s="22" t="str">
        <f t="shared" si="5"/>
        <v>Salary &gt; 85K</v>
      </c>
      <c r="R12" t="str">
        <f t="shared" si="6"/>
        <v>Salary &gt; 85K</v>
      </c>
    </row>
    <row r="13" spans="1:18 16384:16384" ht="19.5" customHeight="1" x14ac:dyDescent="0.25">
      <c r="A13" s="11" t="s">
        <v>75</v>
      </c>
      <c r="B13" s="20">
        <v>45091.502789351849</v>
      </c>
      <c r="C13" s="11" t="s">
        <v>76</v>
      </c>
      <c r="D13" s="11" t="s">
        <v>30</v>
      </c>
      <c r="E13" s="11" t="s">
        <v>77</v>
      </c>
      <c r="F13" s="11" t="s">
        <v>63</v>
      </c>
      <c r="G13" s="11" t="s">
        <v>33</v>
      </c>
      <c r="H13" s="21">
        <v>165000</v>
      </c>
      <c r="I13" t="s">
        <v>3</v>
      </c>
      <c r="J13" t="s">
        <v>78</v>
      </c>
      <c r="K13" t="str">
        <f t="shared" si="7"/>
        <v>No Data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s="22" t="str">
        <f t="shared" si="5"/>
        <v>Salary &gt; 85K</v>
      </c>
      <c r="R13" t="str">
        <f t="shared" si="6"/>
        <v>Salary &gt; 85K</v>
      </c>
    </row>
    <row r="14" spans="1:18 16384:16384" ht="19.5" customHeight="1" x14ac:dyDescent="0.25">
      <c r="A14" s="11" t="s">
        <v>45</v>
      </c>
      <c r="B14" s="20">
        <v>45175.543124999997</v>
      </c>
      <c r="C14" s="11" t="s">
        <v>79</v>
      </c>
      <c r="D14" s="11" t="s">
        <v>30</v>
      </c>
      <c r="E14" s="11" t="s">
        <v>80</v>
      </c>
      <c r="F14" s="11" t="s">
        <v>81</v>
      </c>
      <c r="G14" s="11" t="s">
        <v>33</v>
      </c>
      <c r="H14" s="24">
        <v>281450.5</v>
      </c>
      <c r="I14" t="s">
        <v>3</v>
      </c>
      <c r="J14" t="s">
        <v>82</v>
      </c>
      <c r="K14" t="str">
        <f t="shared" si="7"/>
        <v>No Data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s="22" t="str">
        <f t="shared" si="5"/>
        <v>Salary &gt; 85K</v>
      </c>
      <c r="R14" t="str">
        <f t="shared" si="6"/>
        <v>Salary &gt; 85K</v>
      </c>
    </row>
    <row r="15" spans="1:18 16384:16384" ht="19.5" customHeight="1" x14ac:dyDescent="0.25">
      <c r="A15" s="11" t="s">
        <v>45</v>
      </c>
      <c r="B15" s="20">
        <v>45117.778391203705</v>
      </c>
      <c r="C15" s="11" t="s">
        <v>83</v>
      </c>
      <c r="D15" s="11" t="s">
        <v>84</v>
      </c>
      <c r="E15" s="11" t="s">
        <v>85</v>
      </c>
      <c r="F15" s="11" t="s">
        <v>86</v>
      </c>
      <c r="G15" s="11" t="s">
        <v>33</v>
      </c>
      <c r="H15" s="21">
        <v>70000</v>
      </c>
      <c r="I15" t="s">
        <v>3</v>
      </c>
      <c r="J15" t="s">
        <v>87</v>
      </c>
      <c r="K15" t="str">
        <f t="shared" si="7"/>
        <v>No Data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s="22" t="str">
        <f t="shared" si="5"/>
        <v>Salary Low</v>
      </c>
      <c r="R15" t="str">
        <f t="shared" si="6"/>
        <v>Salary Low</v>
      </c>
    </row>
    <row r="16" spans="1:18 16384:16384" ht="19.5" customHeight="1" x14ac:dyDescent="0.25">
      <c r="A16" s="11" t="s">
        <v>88</v>
      </c>
      <c r="B16" s="20">
        <v>44938.614351851851</v>
      </c>
      <c r="C16" s="11" t="s">
        <v>89</v>
      </c>
      <c r="D16" s="11" t="s">
        <v>90</v>
      </c>
      <c r="E16" s="11" t="s">
        <v>91</v>
      </c>
      <c r="F16" s="11" t="s">
        <v>86</v>
      </c>
      <c r="G16" s="11" t="s">
        <v>33</v>
      </c>
      <c r="H16" s="24">
        <v>98301.5</v>
      </c>
      <c r="I16" t="s">
        <v>3</v>
      </c>
      <c r="J16" t="s">
        <v>92</v>
      </c>
      <c r="K16" t="str">
        <f t="shared" si="7"/>
        <v>No Data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s="22" t="str">
        <f t="shared" si="5"/>
        <v>Salary &gt; 85K</v>
      </c>
      <c r="R16" t="str">
        <f t="shared" si="6"/>
        <v>Salary &gt; 85K</v>
      </c>
    </row>
    <row r="17" spans="1:18" ht="19.5" customHeight="1" x14ac:dyDescent="0.25">
      <c r="A17" s="11" t="s">
        <v>88</v>
      </c>
      <c r="B17" s="20">
        <v>44985.354097222225</v>
      </c>
      <c r="C17" s="11" t="s">
        <v>93</v>
      </c>
      <c r="D17" s="11" t="s">
        <v>94</v>
      </c>
      <c r="E17" s="11" t="s">
        <v>95</v>
      </c>
      <c r="F17" s="11" t="s">
        <v>86</v>
      </c>
      <c r="G17" s="11" t="s">
        <v>33</v>
      </c>
      <c r="H17" s="21">
        <v>89100</v>
      </c>
      <c r="I17" t="s">
        <v>3</v>
      </c>
      <c r="J17" t="s">
        <v>96</v>
      </c>
      <c r="K17" t="str">
        <f t="shared" si="7"/>
        <v>No Data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s="22" t="str">
        <f t="shared" si="5"/>
        <v>Salary &gt; 85K</v>
      </c>
      <c r="R17" t="str">
        <f t="shared" si="6"/>
        <v>Salary &gt; 85K</v>
      </c>
    </row>
    <row r="18" spans="1:18" ht="19.5" customHeight="1" x14ac:dyDescent="0.25">
      <c r="A18" s="11" t="s">
        <v>25</v>
      </c>
      <c r="B18" s="20">
        <v>45063.792291666665</v>
      </c>
      <c r="C18" s="11" t="s">
        <v>97</v>
      </c>
      <c r="D18" s="11" t="s">
        <v>30</v>
      </c>
      <c r="E18" s="11" t="s">
        <v>98</v>
      </c>
      <c r="F18" s="11" t="s">
        <v>63</v>
      </c>
      <c r="G18" s="11" t="s">
        <v>39</v>
      </c>
      <c r="H18" s="23"/>
      <c r="I18" t="s">
        <v>3</v>
      </c>
      <c r="J18" t="s">
        <v>99</v>
      </c>
      <c r="K18" t="str">
        <f t="shared" si="7"/>
        <v>No Data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s="22" t="str">
        <f t="shared" si="5"/>
        <v>Salary Low</v>
      </c>
      <c r="R18" t="str">
        <f t="shared" si="6"/>
        <v>No Data</v>
      </c>
    </row>
    <row r="19" spans="1:18" ht="19.5" customHeight="1" x14ac:dyDescent="0.25">
      <c r="A19" s="11" t="s">
        <v>45</v>
      </c>
      <c r="B19" s="20">
        <v>45017.004837962966</v>
      </c>
      <c r="C19" s="11" t="s">
        <v>100</v>
      </c>
      <c r="D19" s="11" t="s">
        <v>51</v>
      </c>
      <c r="E19" s="11" t="s">
        <v>101</v>
      </c>
      <c r="F19" s="11" t="s">
        <v>63</v>
      </c>
      <c r="G19" s="11" t="s">
        <v>33</v>
      </c>
      <c r="H19" s="21">
        <v>87500</v>
      </c>
      <c r="I19" t="s">
        <v>3</v>
      </c>
      <c r="J19" t="s">
        <v>102</v>
      </c>
      <c r="K19" t="str">
        <f t="shared" si="7"/>
        <v>No Data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s="22" t="str">
        <f t="shared" si="5"/>
        <v>Salary &gt; 85K</v>
      </c>
      <c r="R19" t="str">
        <f t="shared" si="6"/>
        <v>Salary &gt; 85K</v>
      </c>
    </row>
    <row r="20" spans="1:18" ht="19.5" customHeight="1" x14ac:dyDescent="0.25">
      <c r="A20" s="11" t="s">
        <v>45</v>
      </c>
      <c r="B20" s="20">
        <v>45169.64203703704</v>
      </c>
      <c r="C20" s="11" t="s">
        <v>35</v>
      </c>
      <c r="D20" s="11" t="s">
        <v>51</v>
      </c>
      <c r="E20" s="11" t="s">
        <v>103</v>
      </c>
      <c r="F20" s="11" t="s">
        <v>70</v>
      </c>
      <c r="G20" s="11" t="s">
        <v>39</v>
      </c>
      <c r="H20" s="23"/>
      <c r="I20" t="s">
        <v>2</v>
      </c>
      <c r="J20" t="s">
        <v>104</v>
      </c>
      <c r="K20" t="str">
        <f t="shared" si="7"/>
        <v>No Data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s="22" t="str">
        <f t="shared" si="5"/>
        <v>Salary Low</v>
      </c>
      <c r="R20" t="str">
        <f t="shared" si="6"/>
        <v>No Data</v>
      </c>
    </row>
    <row r="21" spans="1:18" ht="19.5" customHeight="1" x14ac:dyDescent="0.25">
      <c r="A21" s="11" t="s">
        <v>25</v>
      </c>
      <c r="B21" s="20">
        <v>45000.542685185188</v>
      </c>
      <c r="C21" s="11" t="s">
        <v>105</v>
      </c>
      <c r="D21" s="11" t="s">
        <v>30</v>
      </c>
      <c r="E21" s="11" t="s">
        <v>106</v>
      </c>
      <c r="F21" s="11" t="s">
        <v>107</v>
      </c>
      <c r="G21" s="11" t="s">
        <v>33</v>
      </c>
      <c r="H21" s="21">
        <v>90000</v>
      </c>
      <c r="I21" t="s">
        <v>3</v>
      </c>
      <c r="J21" t="s">
        <v>108</v>
      </c>
      <c r="K21" t="str">
        <f t="shared" si="7"/>
        <v>No Data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s="22" t="str">
        <f t="shared" si="5"/>
        <v>Salary &gt; 85K</v>
      </c>
      <c r="R21" t="str">
        <f t="shared" si="6"/>
        <v>Salary &gt; 85K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B1:F9"/>
  <sheetViews>
    <sheetView workbookViewId="0"/>
  </sheetViews>
  <sheetFormatPr defaultRowHeight="15" x14ac:dyDescent="0.25"/>
  <cols>
    <col min="1" max="1" width="6.5703125" bestFit="1" customWidth="1"/>
    <col min="2" max="2" width="13.42578125" bestFit="1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1" spans="2:6" ht="19.5" customHeight="1" x14ac:dyDescent="0.25"/>
    <row r="2" spans="2:6" ht="19.5" customHeight="1" x14ac:dyDescent="0.25">
      <c r="B2" s="10" t="s">
        <v>4</v>
      </c>
      <c r="C2" s="10" t="s">
        <v>5</v>
      </c>
      <c r="D2" s="10" t="s">
        <v>6</v>
      </c>
      <c r="E2" s="10"/>
      <c r="F2" s="10" t="e">
        <f ca="1">_xludf.IFNA()</f>
        <v>#NAME?</v>
      </c>
    </row>
    <row r="3" spans="2:6" ht="19.5" customHeight="1" x14ac:dyDescent="0.25">
      <c r="B3" s="11" t="e">
        <f>1/0</f>
        <v>#DIV/0!</v>
      </c>
      <c r="C3" s="11" t="e">
        <f>1/0</f>
        <v>#DIV/0!</v>
      </c>
      <c r="D3" s="11" t="s">
        <v>7</v>
      </c>
      <c r="E3" s="11" t="str">
        <f>IFERROR(B3, "This text hides the error")</f>
        <v>This text hides the error</v>
      </c>
      <c r="F3" s="11" t="e">
        <f t="shared" ref="F3:F9" si="0">_xlfn.IFNA(B3, "This hides #N/A error")</f>
        <v>#DIV/0!</v>
      </c>
    </row>
    <row r="4" spans="2:6" ht="19.5" customHeight="1" x14ac:dyDescent="0.25">
      <c r="B4" s="11" t="e">
        <f>A4 + "text"</f>
        <v>#VALUE!</v>
      </c>
      <c r="C4" s="11" t="e">
        <f>B4 + "text"</f>
        <v>#VALUE!</v>
      </c>
      <c r="D4" s="11" t="s">
        <v>8</v>
      </c>
      <c r="E4" s="11" t="str">
        <f>IFERROR(B4, "This text hides the error")</f>
        <v>This text hides the error</v>
      </c>
      <c r="F4" s="11" t="e">
        <f t="shared" si="0"/>
        <v>#VALUE!</v>
      </c>
    </row>
    <row r="5" spans="2:6" ht="19.5" customHeight="1" x14ac:dyDescent="0.25">
      <c r="B5" s="12" t="e">
        <f>#REF!</f>
        <v>#REF!</v>
      </c>
      <c r="C5" s="11" t="e">
        <f>#REF!</f>
        <v>#REF!</v>
      </c>
      <c r="D5" s="11" t="s">
        <v>9</v>
      </c>
      <c r="E5" s="11" t="e">
        <f ca="1">COUNTT(E7:E13)</f>
        <v>#NAME?</v>
      </c>
      <c r="F5" s="11" t="e">
        <f t="shared" si="0"/>
        <v>#REF!</v>
      </c>
    </row>
    <row r="6" spans="2:6" ht="19.5" customHeight="1" x14ac:dyDescent="0.25">
      <c r="B6" s="12" t="e">
        <f ca="1">COUNTT(A3:A9)</f>
        <v>#NAME?</v>
      </c>
      <c r="C6" s="11" t="e">
        <f ca="1">COUNTT(A3:A9)</f>
        <v>#NAME?</v>
      </c>
      <c r="D6" s="11" t="s">
        <v>10</v>
      </c>
      <c r="E6" s="11" t="e">
        <f ca="1">COUNTT(E8:E14)</f>
        <v>#NAME?</v>
      </c>
      <c r="F6" s="11" t="e">
        <f t="shared" ca="1" si="0"/>
        <v>#NAME?</v>
      </c>
    </row>
    <row r="7" spans="2:6" ht="19.5" customHeight="1" x14ac:dyDescent="0.25">
      <c r="B7" s="11" t="e">
        <f>VLOOKUP("Value", A1:A10, 2, FALSE)</f>
        <v>#N/A</v>
      </c>
      <c r="C7" s="11" t="e">
        <f>VLOOKUP("Value", A1:A10, 2, FALSE)</f>
        <v>#N/A</v>
      </c>
      <c r="D7" s="11" t="s">
        <v>11</v>
      </c>
      <c r="E7" s="11" t="e">
        <f ca="1">COUNTT(E9:E15)</f>
        <v>#NAME?</v>
      </c>
      <c r="F7" s="11" t="str">
        <f t="shared" si="0"/>
        <v>This hides #N/A error</v>
      </c>
    </row>
    <row r="8" spans="2:6" ht="19.5" customHeight="1" x14ac:dyDescent="0.25">
      <c r="B8" s="11" t="e">
        <f>SQRT(-1)</f>
        <v>#NUM!</v>
      </c>
      <c r="C8" s="11" t="e">
        <f>SQRT(-1)</f>
        <v>#NUM!</v>
      </c>
      <c r="D8" s="11" t="s">
        <v>12</v>
      </c>
      <c r="E8" s="11" t="e">
        <f ca="1">COUNTT(E10:E16)</f>
        <v>#NAME?</v>
      </c>
      <c r="F8" s="11" t="e">
        <f t="shared" si="0"/>
        <v>#NUM!</v>
      </c>
    </row>
    <row r="9" spans="2:6" ht="19.5" customHeight="1" x14ac:dyDescent="0.25">
      <c r="B9" s="11" t="e">
        <f>SUM(A1:A10 C1:C10)</f>
        <v>#NULL!</v>
      </c>
      <c r="C9" s="11" t="e">
        <f>SUM(A1:A10 B1:B10)</f>
        <v>#NULL!</v>
      </c>
      <c r="D9" s="11" t="s">
        <v>13</v>
      </c>
      <c r="E9" s="11" t="e">
        <f ca="1">COUNTT(E11:E17)</f>
        <v>#NAME?</v>
      </c>
      <c r="F9" s="11" t="e">
        <f t="shared" si="0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B1:E6"/>
  <sheetViews>
    <sheetView workbookViewId="0"/>
  </sheetViews>
  <sheetFormatPr defaultRowHeight="15" x14ac:dyDescent="0.25"/>
  <cols>
    <col min="1" max="1" width="14.140625" bestFit="1" customWidth="1"/>
    <col min="2" max="2" width="9.85546875" bestFit="1" customWidth="1"/>
    <col min="3" max="3" width="10.5703125" bestFit="1" customWidth="1"/>
    <col min="4" max="5" width="14.140625" bestFit="1" customWidth="1"/>
  </cols>
  <sheetData>
    <row r="1" spans="2:5" ht="19.5" customHeight="1" x14ac:dyDescent="0.25"/>
    <row r="2" spans="2:5" ht="19.5" customHeight="1" x14ac:dyDescent="0.25">
      <c r="B2" s="1" t="s">
        <v>0</v>
      </c>
      <c r="C2" s="2" t="s">
        <v>1</v>
      </c>
      <c r="D2" s="3"/>
      <c r="E2" s="3"/>
    </row>
    <row r="3" spans="2:5" ht="19.5" customHeight="1" x14ac:dyDescent="0.25">
      <c r="B3" s="4" t="s">
        <v>2</v>
      </c>
      <c r="C3" s="5" t="s">
        <v>2</v>
      </c>
      <c r="D3" s="6" t="e">
        <f>AND(B3,C3)</f>
        <v>#VALUE!</v>
      </c>
      <c r="E3" s="6" t="e">
        <f>OR(B3,C3)</f>
        <v>#VALUE!</v>
      </c>
    </row>
    <row r="4" spans="2:5" ht="19.5" customHeight="1" x14ac:dyDescent="0.25">
      <c r="B4" s="4" t="s">
        <v>2</v>
      </c>
      <c r="C4" s="5" t="s">
        <v>3</v>
      </c>
      <c r="D4" s="6" t="e">
        <f>AND(B4,C4)</f>
        <v>#VALUE!</v>
      </c>
      <c r="E4" s="6" t="e">
        <f>OR(B4,C4)</f>
        <v>#VALUE!</v>
      </c>
    </row>
    <row r="5" spans="2:5" ht="19.5" customHeight="1" x14ac:dyDescent="0.25">
      <c r="B5" s="4" t="s">
        <v>3</v>
      </c>
      <c r="C5" s="5" t="s">
        <v>2</v>
      </c>
      <c r="D5" s="6" t="e">
        <f>AND(B5,C5)</f>
        <v>#VALUE!</v>
      </c>
      <c r="E5" s="6" t="e">
        <f>OR(B5,C5)</f>
        <v>#VALUE!</v>
      </c>
    </row>
    <row r="6" spans="2:5" ht="19.5" customHeight="1" x14ac:dyDescent="0.25">
      <c r="B6" s="7" t="s">
        <v>3</v>
      </c>
      <c r="C6" s="8" t="s">
        <v>3</v>
      </c>
      <c r="D6" s="9" t="e">
        <f>AND(B6,C6)</f>
        <v>#VALUE!</v>
      </c>
      <c r="E6" s="9" t="e">
        <f>OR(B6,C6)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Data_1</vt:lpstr>
      <vt:lpstr>Final_1</vt:lpstr>
      <vt:lpstr>Data_2</vt:lpstr>
      <vt:lpstr>Final_2</vt:lpstr>
      <vt:lpstr>Errors</vt:lpstr>
      <vt:lpstr>And-Or</vt:lpstr>
      <vt:lpstr>Final_1!_FilterDatabase</vt:lpstr>
      <vt:lpstr>Final_2!_FilterDatabase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Kaiyuan Gao</cp:lastModifiedBy>
  <dcterms:created xsi:type="dcterms:W3CDTF">2026-01-08T17:28:21Z</dcterms:created>
  <dcterms:modified xsi:type="dcterms:W3CDTF">2026-01-08T21:07:28Z</dcterms:modified>
</cp:coreProperties>
</file>